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dsol-master-data\"/>
    </mc:Choice>
  </mc:AlternateContent>
  <xr:revisionPtr revIDLastSave="0" documentId="13_ncr:1_{E7AA2149-CCE7-4582-88CE-4B4A656DE0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partments" sheetId="3" r:id="rId1"/>
    <sheet name="hotel" sheetId="2" r:id="rId2"/>
    <sheet name="Hospital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4" l="1"/>
  <c r="D11" i="4" s="1"/>
  <c r="D12" i="4" s="1"/>
  <c r="D15" i="4" s="1"/>
  <c r="D16" i="4" s="1"/>
  <c r="D11" i="3"/>
  <c r="D12" i="3" s="1"/>
  <c r="D15" i="3" s="1"/>
  <c r="D16" i="3" s="1"/>
  <c r="D9" i="3"/>
  <c r="D15" i="2"/>
  <c r="D16" i="2" s="1"/>
  <c r="D9" i="2"/>
  <c r="D11" i="2" s="1"/>
  <c r="D12" i="2" s="1"/>
</calcChain>
</file>

<file path=xl/sharedStrings.xml><?xml version="1.0" encoding="utf-8"?>
<sst xmlns="http://schemas.openxmlformats.org/spreadsheetml/2006/main" count="131" uniqueCount="40">
  <si>
    <t>Nos</t>
  </si>
  <si>
    <t>Hrs</t>
  </si>
  <si>
    <t>Liters</t>
  </si>
  <si>
    <t>HOT WATER SYSTEM:</t>
  </si>
  <si>
    <t>Heat Pump Calculation</t>
  </si>
  <si>
    <t>Sl. No.</t>
  </si>
  <si>
    <t>Extracts</t>
  </si>
  <si>
    <t>Data</t>
  </si>
  <si>
    <t>Number of Rooms</t>
  </si>
  <si>
    <t xml:space="preserve">Occupancy in each Room </t>
  </si>
  <si>
    <t>Total Number of occupants</t>
  </si>
  <si>
    <t>Total quantity of water is consumed per person</t>
  </si>
  <si>
    <t>Tot hot water requirement</t>
  </si>
  <si>
    <t>Proposed Heat Pump Capacity (Each) (Heat Output)</t>
  </si>
  <si>
    <t>Proposed Heat Pump Capacity (Each) (Heat Input)</t>
  </si>
  <si>
    <t>Hot water storage tank with Calorifier 3 Nos.</t>
  </si>
  <si>
    <t>Capacity of Hot Water Storage Tanks</t>
  </si>
  <si>
    <t>No's</t>
  </si>
  <si>
    <t>Units</t>
  </si>
  <si>
    <t>deg C</t>
  </si>
  <si>
    <t>Kcal/hr</t>
  </si>
  <si>
    <t>KW</t>
  </si>
  <si>
    <t>5000Liters (3Nos.) (Hot water storage tank)</t>
  </si>
  <si>
    <t>Equivalent Energy in KW</t>
  </si>
  <si>
    <r>
      <t xml:space="preserve">Energy required for Hot water
Q=(m×c×ΔT)/hr
</t>
    </r>
    <r>
      <rPr>
        <sz val="9"/>
        <color theme="1"/>
        <rFont val="Aptos Narrow"/>
        <family val="2"/>
        <scheme val="minor"/>
      </rPr>
      <t>m = mass of water (kg)Kg
c = specific heat of water = 1 kcal/kg°C
ΔT = temperature rise</t>
    </r>
  </si>
  <si>
    <t>Diversity 70% (m)</t>
  </si>
  <si>
    <t>Average No. of Hours of Working (hr)</t>
  </si>
  <si>
    <t>Temp Rise (11-60deg C)</t>
  </si>
  <si>
    <t>No. of Heat Pump (Air to Water) 1250 Liters/hrs 2W+1S</t>
  </si>
  <si>
    <t>70 75 80%</t>
  </si>
  <si>
    <t>5 6 7</t>
  </si>
  <si>
    <t>final water temp t2</t>
  </si>
  <si>
    <t xml:space="preserve">t1 initial water temp </t>
  </si>
  <si>
    <t>t2-t1</t>
  </si>
  <si>
    <t>hotel</t>
  </si>
  <si>
    <t>apartments</t>
  </si>
  <si>
    <t>no of flats</t>
  </si>
  <si>
    <t>Number of Flats</t>
  </si>
  <si>
    <t>Occupancy in each Flats</t>
  </si>
  <si>
    <t>20 30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</si>
</sst>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2" borderId="6" xfId="0" applyFill="1" applyBorder="1" applyAlignment="1">
      <alignment horizontal="center" vertical="center"/>
    </xf>
    <xf numFmtId="0" fontId="0" fillId="4" borderId="1" xfId="0" applyFill="1" applyBorder="1"/>
    <xf numFmtId="0" fontId="0" fillId="4" borderId="8" xfId="0" applyFill="1" applyBorder="1"/>
    <xf numFmtId="0" fontId="0" fillId="4" borderId="1" xfId="0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wrapText="1"/>
    </xf>
    <xf numFmtId="1" fontId="0" fillId="2" borderId="6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1D15-2D4F-4EBC-A423-93DF3B2F541D}">
  <dimension ref="B3:I21"/>
  <sheetViews>
    <sheetView zoomScale="118" workbookViewId="0">
      <selection activeCell="K15" sqref="K15"/>
    </sheetView>
  </sheetViews>
  <sheetFormatPr defaultRowHeight="14.4" x14ac:dyDescent="0.3"/>
  <cols>
    <col min="3" max="3" width="45.21875" bestFit="1" customWidth="1"/>
    <col min="4" max="4" width="35.88671875" style="1" bestFit="1" customWidth="1"/>
    <col min="5" max="5" width="11.21875" customWidth="1"/>
  </cols>
  <sheetData>
    <row r="3" spans="2:9" x14ac:dyDescent="0.3">
      <c r="B3" s="19" t="s">
        <v>3</v>
      </c>
      <c r="C3" s="19"/>
      <c r="D3" s="19"/>
      <c r="E3" s="19"/>
    </row>
    <row r="4" spans="2:9" ht="15" thickBot="1" x14ac:dyDescent="0.35">
      <c r="F4" t="s">
        <v>34</v>
      </c>
      <c r="H4" t="s">
        <v>35</v>
      </c>
    </row>
    <row r="5" spans="2:9" ht="15" thickBot="1" x14ac:dyDescent="0.35">
      <c r="B5" s="20" t="s">
        <v>4</v>
      </c>
      <c r="C5" s="21"/>
      <c r="D5" s="21"/>
      <c r="E5" s="22"/>
      <c r="H5" t="s">
        <v>36</v>
      </c>
    </row>
    <row r="6" spans="2:9" ht="15" thickBot="1" x14ac:dyDescent="0.35">
      <c r="B6" s="10" t="s">
        <v>5</v>
      </c>
      <c r="C6" s="11" t="s">
        <v>6</v>
      </c>
      <c r="D6" s="12" t="s">
        <v>7</v>
      </c>
      <c r="E6" s="16" t="s">
        <v>18</v>
      </c>
    </row>
    <row r="7" spans="2:9" x14ac:dyDescent="0.3">
      <c r="B7" s="2">
        <v>1</v>
      </c>
      <c r="C7" s="5" t="s">
        <v>37</v>
      </c>
      <c r="D7" s="2">
        <v>266</v>
      </c>
      <c r="E7" s="17" t="s">
        <v>17</v>
      </c>
    </row>
    <row r="8" spans="2:9" x14ac:dyDescent="0.3">
      <c r="B8" s="3">
        <v>2</v>
      </c>
      <c r="C8" s="6" t="s">
        <v>38</v>
      </c>
      <c r="D8" s="3">
        <v>2</v>
      </c>
      <c r="E8" s="18" t="s">
        <v>17</v>
      </c>
    </row>
    <row r="9" spans="2:9" x14ac:dyDescent="0.3">
      <c r="B9" s="3">
        <v>3</v>
      </c>
      <c r="C9" s="6" t="s">
        <v>10</v>
      </c>
      <c r="D9" s="3">
        <f>D7*D8</f>
        <v>532</v>
      </c>
      <c r="E9" s="18" t="s">
        <v>17</v>
      </c>
    </row>
    <row r="10" spans="2:9" x14ac:dyDescent="0.3">
      <c r="B10" s="3">
        <v>4</v>
      </c>
      <c r="C10" s="6" t="s">
        <v>11</v>
      </c>
      <c r="D10" s="3">
        <v>40</v>
      </c>
      <c r="E10" s="18" t="s">
        <v>2</v>
      </c>
      <c r="F10" t="s">
        <v>39</v>
      </c>
    </row>
    <row r="11" spans="2:9" x14ac:dyDescent="0.3">
      <c r="B11" s="3">
        <v>5</v>
      </c>
      <c r="C11" s="6" t="s">
        <v>12</v>
      </c>
      <c r="D11" s="13">
        <f>D9*D10</f>
        <v>21280</v>
      </c>
      <c r="E11" s="18" t="s">
        <v>2</v>
      </c>
    </row>
    <row r="12" spans="2:9" x14ac:dyDescent="0.3">
      <c r="B12" s="3">
        <v>6</v>
      </c>
      <c r="C12" s="6" t="s">
        <v>25</v>
      </c>
      <c r="D12" s="13">
        <f>D11*0.7</f>
        <v>14895.999999999998</v>
      </c>
      <c r="E12" s="18" t="s">
        <v>2</v>
      </c>
      <c r="F12" t="s">
        <v>29</v>
      </c>
    </row>
    <row r="13" spans="2:9" x14ac:dyDescent="0.3">
      <c r="B13" s="3">
        <v>7</v>
      </c>
      <c r="C13" s="6" t="s">
        <v>26</v>
      </c>
      <c r="D13" s="3">
        <v>7.5</v>
      </c>
      <c r="E13" s="18" t="s">
        <v>1</v>
      </c>
      <c r="F13" t="s">
        <v>30</v>
      </c>
    </row>
    <row r="14" spans="2:9" x14ac:dyDescent="0.3">
      <c r="B14" s="3">
        <v>8</v>
      </c>
      <c r="C14" s="6" t="s">
        <v>27</v>
      </c>
      <c r="D14" s="3">
        <v>49</v>
      </c>
      <c r="E14" s="18" t="s">
        <v>19</v>
      </c>
      <c r="F14" t="s">
        <v>32</v>
      </c>
      <c r="G14" s="25" t="s">
        <v>31</v>
      </c>
      <c r="I14" s="25" t="s">
        <v>33</v>
      </c>
    </row>
    <row r="15" spans="2:9" ht="65.400000000000006" x14ac:dyDescent="0.3">
      <c r="B15" s="3">
        <v>9</v>
      </c>
      <c r="C15" s="14" t="s">
        <v>24</v>
      </c>
      <c r="D15" s="15">
        <f>(1*D12*(D14))/D13</f>
        <v>97320.533333333311</v>
      </c>
      <c r="E15" s="18" t="s">
        <v>20</v>
      </c>
    </row>
    <row r="16" spans="2:9" x14ac:dyDescent="0.3">
      <c r="B16" s="3"/>
      <c r="C16" s="6" t="s">
        <v>23</v>
      </c>
      <c r="D16" s="15">
        <f>D15/860</f>
        <v>113.16341085271316</v>
      </c>
      <c r="E16" s="18" t="s">
        <v>21</v>
      </c>
    </row>
    <row r="17" spans="2:5" x14ac:dyDescent="0.3">
      <c r="B17" s="3">
        <v>10</v>
      </c>
      <c r="C17" s="6" t="s">
        <v>13</v>
      </c>
      <c r="D17" s="9">
        <v>58</v>
      </c>
      <c r="E17" s="18" t="s">
        <v>21</v>
      </c>
    </row>
    <row r="18" spans="2:5" x14ac:dyDescent="0.3">
      <c r="B18" s="3">
        <v>11</v>
      </c>
      <c r="C18" s="6" t="s">
        <v>14</v>
      </c>
      <c r="D18" s="9">
        <v>13.5</v>
      </c>
      <c r="E18" s="18" t="s">
        <v>21</v>
      </c>
    </row>
    <row r="19" spans="2:5" x14ac:dyDescent="0.3">
      <c r="B19" s="3">
        <v>12</v>
      </c>
      <c r="C19" s="7" t="s">
        <v>28</v>
      </c>
      <c r="D19" s="9">
        <v>3</v>
      </c>
      <c r="E19" s="18" t="s">
        <v>0</v>
      </c>
    </row>
    <row r="20" spans="2:5" x14ac:dyDescent="0.3">
      <c r="B20" s="3"/>
      <c r="C20" s="7" t="s">
        <v>15</v>
      </c>
      <c r="D20" s="9">
        <v>3</v>
      </c>
      <c r="E20" s="18"/>
    </row>
    <row r="21" spans="2:5" ht="15" thickBot="1" x14ac:dyDescent="0.35">
      <c r="B21" s="4">
        <v>13</v>
      </c>
      <c r="C21" s="8" t="s">
        <v>16</v>
      </c>
      <c r="D21" s="23" t="s">
        <v>22</v>
      </c>
      <c r="E21" s="24"/>
    </row>
  </sheetData>
  <mergeCells count="3">
    <mergeCell ref="B3:E3"/>
    <mergeCell ref="B5:E5"/>
    <mergeCell ref="D21:E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1"/>
  <sheetViews>
    <sheetView tabSelected="1" zoomScale="118" workbookViewId="0">
      <selection activeCell="D2" sqref="D2"/>
    </sheetView>
  </sheetViews>
  <sheetFormatPr defaultRowHeight="14.4" x14ac:dyDescent="0.3"/>
  <cols>
    <col min="3" max="3" width="45.21875" bestFit="1" customWidth="1"/>
    <col min="4" max="4" width="35.88671875" style="1" bestFit="1" customWidth="1"/>
    <col min="5" max="5" width="11.21875" customWidth="1"/>
  </cols>
  <sheetData>
    <row r="3" spans="2:9" x14ac:dyDescent="0.3">
      <c r="B3" s="19" t="s">
        <v>3</v>
      </c>
      <c r="C3" s="19"/>
      <c r="D3" s="19"/>
      <c r="E3" s="19"/>
    </row>
    <row r="4" spans="2:9" ht="15" thickBot="1" x14ac:dyDescent="0.35">
      <c r="F4" t="s">
        <v>34</v>
      </c>
      <c r="H4" t="s">
        <v>35</v>
      </c>
    </row>
    <row r="5" spans="2:9" ht="15" thickBot="1" x14ac:dyDescent="0.35">
      <c r="B5" s="20" t="s">
        <v>4</v>
      </c>
      <c r="C5" s="21"/>
      <c r="D5" s="21"/>
      <c r="E5" s="22"/>
      <c r="H5" t="s">
        <v>36</v>
      </c>
    </row>
    <row r="6" spans="2:9" ht="15" thickBot="1" x14ac:dyDescent="0.35">
      <c r="B6" s="10" t="s">
        <v>5</v>
      </c>
      <c r="C6" s="11" t="s">
        <v>6</v>
      </c>
      <c r="D6" s="12" t="s">
        <v>7</v>
      </c>
      <c r="E6" s="16" t="s">
        <v>18</v>
      </c>
    </row>
    <row r="7" spans="2:9" x14ac:dyDescent="0.3">
      <c r="B7" s="2">
        <v>1</v>
      </c>
      <c r="C7" s="5" t="s">
        <v>8</v>
      </c>
      <c r="D7" s="2">
        <v>266</v>
      </c>
      <c r="E7" s="17" t="s">
        <v>17</v>
      </c>
    </row>
    <row r="8" spans="2:9" x14ac:dyDescent="0.3">
      <c r="B8" s="3">
        <v>2</v>
      </c>
      <c r="C8" s="6" t="s">
        <v>9</v>
      </c>
      <c r="D8" s="3">
        <v>2</v>
      </c>
      <c r="E8" s="18" t="s">
        <v>17</v>
      </c>
    </row>
    <row r="9" spans="2:9" x14ac:dyDescent="0.3">
      <c r="B9" s="3">
        <v>3</v>
      </c>
      <c r="C9" s="6" t="s">
        <v>10</v>
      </c>
      <c r="D9" s="3">
        <f>D7*D8</f>
        <v>532</v>
      </c>
      <c r="E9" s="18" t="s">
        <v>17</v>
      </c>
    </row>
    <row r="10" spans="2:9" x14ac:dyDescent="0.3">
      <c r="B10" s="3">
        <v>4</v>
      </c>
      <c r="C10" s="6" t="s">
        <v>11</v>
      </c>
      <c r="D10" s="3">
        <v>40</v>
      </c>
      <c r="E10" s="18" t="s">
        <v>2</v>
      </c>
    </row>
    <row r="11" spans="2:9" x14ac:dyDescent="0.3">
      <c r="B11" s="3">
        <v>5</v>
      </c>
      <c r="C11" s="6" t="s">
        <v>12</v>
      </c>
      <c r="D11" s="13">
        <f>D9*D10</f>
        <v>21280</v>
      </c>
      <c r="E11" s="18" t="s">
        <v>2</v>
      </c>
    </row>
    <row r="12" spans="2:9" x14ac:dyDescent="0.3">
      <c r="B12" s="3">
        <v>6</v>
      </c>
      <c r="C12" s="6" t="s">
        <v>25</v>
      </c>
      <c r="D12" s="13">
        <f>D11*0.7</f>
        <v>14895.999999999998</v>
      </c>
      <c r="E12" s="18" t="s">
        <v>2</v>
      </c>
      <c r="F12" t="s">
        <v>29</v>
      </c>
    </row>
    <row r="13" spans="2:9" x14ac:dyDescent="0.3">
      <c r="B13" s="3">
        <v>7</v>
      </c>
      <c r="C13" s="6" t="s">
        <v>26</v>
      </c>
      <c r="D13" s="3">
        <v>7.5</v>
      </c>
      <c r="E13" s="18" t="s">
        <v>1</v>
      </c>
      <c r="F13" t="s">
        <v>30</v>
      </c>
    </row>
    <row r="14" spans="2:9" x14ac:dyDescent="0.3">
      <c r="B14" s="3">
        <v>8</v>
      </c>
      <c r="C14" s="6" t="s">
        <v>27</v>
      </c>
      <c r="D14" s="3">
        <v>49</v>
      </c>
      <c r="E14" s="18" t="s">
        <v>19</v>
      </c>
      <c r="F14" t="s">
        <v>32</v>
      </c>
      <c r="G14" s="25" t="s">
        <v>31</v>
      </c>
      <c r="I14" s="25" t="s">
        <v>33</v>
      </c>
    </row>
    <row r="15" spans="2:9" ht="65.400000000000006" x14ac:dyDescent="0.3">
      <c r="B15" s="3">
        <v>9</v>
      </c>
      <c r="C15" s="14" t="s">
        <v>24</v>
      </c>
      <c r="D15" s="15">
        <f>(1*D12*(D14))/D13</f>
        <v>97320.533333333311</v>
      </c>
      <c r="E15" s="18" t="s">
        <v>20</v>
      </c>
    </row>
    <row r="16" spans="2:9" x14ac:dyDescent="0.3">
      <c r="B16" s="3"/>
      <c r="C16" s="6" t="s">
        <v>23</v>
      </c>
      <c r="D16" s="15">
        <f>D15/860</f>
        <v>113.16341085271316</v>
      </c>
      <c r="E16" s="18" t="s">
        <v>21</v>
      </c>
    </row>
    <row r="17" spans="2:5" x14ac:dyDescent="0.3">
      <c r="B17" s="3">
        <v>10</v>
      </c>
      <c r="C17" s="6" t="s">
        <v>13</v>
      </c>
      <c r="D17" s="9">
        <v>58</v>
      </c>
      <c r="E17" s="18" t="s">
        <v>21</v>
      </c>
    </row>
    <row r="18" spans="2:5" x14ac:dyDescent="0.3">
      <c r="B18" s="3">
        <v>11</v>
      </c>
      <c r="C18" s="6" t="s">
        <v>14</v>
      </c>
      <c r="D18" s="9">
        <v>13.5</v>
      </c>
      <c r="E18" s="18" t="s">
        <v>21</v>
      </c>
    </row>
    <row r="19" spans="2:5" x14ac:dyDescent="0.3">
      <c r="B19" s="3">
        <v>12</v>
      </c>
      <c r="C19" s="7" t="s">
        <v>28</v>
      </c>
      <c r="D19" s="9">
        <v>3</v>
      </c>
      <c r="E19" s="18" t="s">
        <v>0</v>
      </c>
    </row>
    <row r="20" spans="2:5" x14ac:dyDescent="0.3">
      <c r="B20" s="3"/>
      <c r="C20" s="7" t="s">
        <v>15</v>
      </c>
      <c r="D20" s="9">
        <v>3</v>
      </c>
      <c r="E20" s="18"/>
    </row>
    <row r="21" spans="2:5" ht="15" thickBot="1" x14ac:dyDescent="0.35">
      <c r="B21" s="4">
        <v>13</v>
      </c>
      <c r="C21" s="8" t="s">
        <v>16</v>
      </c>
      <c r="D21" s="23" t="s">
        <v>22</v>
      </c>
      <c r="E21" s="24"/>
    </row>
  </sheetData>
  <mergeCells count="3">
    <mergeCell ref="B3:E3"/>
    <mergeCell ref="B5:E5"/>
    <mergeCell ref="D21:E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66CE-5248-4421-950A-96D47B53E053}">
  <dimension ref="B3:I21"/>
  <sheetViews>
    <sheetView zoomScale="118" workbookViewId="0">
      <selection activeCell="I10" sqref="I10"/>
    </sheetView>
  </sheetViews>
  <sheetFormatPr defaultRowHeight="14.4" x14ac:dyDescent="0.3"/>
  <cols>
    <col min="3" max="3" width="45.21875" bestFit="1" customWidth="1"/>
    <col min="4" max="4" width="35.88671875" style="1" bestFit="1" customWidth="1"/>
    <col min="5" max="5" width="11.21875" customWidth="1"/>
  </cols>
  <sheetData>
    <row r="3" spans="2:9" x14ac:dyDescent="0.3">
      <c r="B3" s="19" t="s">
        <v>3</v>
      </c>
      <c r="C3" s="19"/>
      <c r="D3" s="19"/>
      <c r="E3" s="19"/>
    </row>
    <row r="4" spans="2:9" ht="15" thickBot="1" x14ac:dyDescent="0.35">
      <c r="F4" t="s">
        <v>34</v>
      </c>
      <c r="H4" t="s">
        <v>35</v>
      </c>
    </row>
    <row r="5" spans="2:9" ht="15" thickBot="1" x14ac:dyDescent="0.35">
      <c r="B5" s="20" t="s">
        <v>4</v>
      </c>
      <c r="C5" s="21"/>
      <c r="D5" s="21"/>
      <c r="E5" s="22"/>
      <c r="H5" t="s">
        <v>36</v>
      </c>
    </row>
    <row r="6" spans="2:9" ht="15" thickBot="1" x14ac:dyDescent="0.35">
      <c r="B6" s="10" t="s">
        <v>5</v>
      </c>
      <c r="C6" s="11" t="s">
        <v>6</v>
      </c>
      <c r="D6" s="12" t="s">
        <v>7</v>
      </c>
      <c r="E6" s="16" t="s">
        <v>18</v>
      </c>
    </row>
    <row r="7" spans="2:9" x14ac:dyDescent="0.3">
      <c r="B7" s="2">
        <v>1</v>
      </c>
      <c r="C7" s="5" t="s">
        <v>37</v>
      </c>
      <c r="D7" s="2">
        <v>1</v>
      </c>
      <c r="E7" s="17" t="s">
        <v>17</v>
      </c>
    </row>
    <row r="8" spans="2:9" x14ac:dyDescent="0.3">
      <c r="B8" s="3">
        <v>2</v>
      </c>
      <c r="C8" s="6" t="s">
        <v>38</v>
      </c>
      <c r="D8" s="3">
        <v>5</v>
      </c>
      <c r="E8" s="18" t="s">
        <v>17</v>
      </c>
    </row>
    <row r="9" spans="2:9" x14ac:dyDescent="0.3">
      <c r="B9" s="3">
        <v>3</v>
      </c>
      <c r="C9" s="6" t="s">
        <v>10</v>
      </c>
      <c r="D9" s="3">
        <f>D7*D8</f>
        <v>5</v>
      </c>
      <c r="E9" s="18" t="s">
        <v>17</v>
      </c>
    </row>
    <row r="10" spans="2:9" x14ac:dyDescent="0.3">
      <c r="B10" s="3">
        <v>4</v>
      </c>
      <c r="C10" s="6" t="s">
        <v>11</v>
      </c>
      <c r="D10" s="3">
        <v>40</v>
      </c>
      <c r="E10" s="18" t="s">
        <v>2</v>
      </c>
      <c r="F10" t="s">
        <v>39</v>
      </c>
    </row>
    <row r="11" spans="2:9" x14ac:dyDescent="0.3">
      <c r="B11" s="3">
        <v>5</v>
      </c>
      <c r="C11" s="6" t="s">
        <v>12</v>
      </c>
      <c r="D11" s="13">
        <f>D9*D10</f>
        <v>200</v>
      </c>
      <c r="E11" s="18" t="s">
        <v>2</v>
      </c>
    </row>
    <row r="12" spans="2:9" x14ac:dyDescent="0.3">
      <c r="B12" s="3">
        <v>6</v>
      </c>
      <c r="C12" s="6" t="s">
        <v>25</v>
      </c>
      <c r="D12" s="13">
        <f>D11*0.7</f>
        <v>140</v>
      </c>
      <c r="E12" s="18" t="s">
        <v>2</v>
      </c>
      <c r="F12" t="s">
        <v>29</v>
      </c>
    </row>
    <row r="13" spans="2:9" x14ac:dyDescent="0.3">
      <c r="B13" s="3">
        <v>7</v>
      </c>
      <c r="C13" s="6" t="s">
        <v>26</v>
      </c>
      <c r="D13" s="3">
        <v>7.5</v>
      </c>
      <c r="E13" s="18" t="s">
        <v>1</v>
      </c>
      <c r="F13" t="s">
        <v>30</v>
      </c>
    </row>
    <row r="14" spans="2:9" x14ac:dyDescent="0.3">
      <c r="B14" s="3">
        <v>8</v>
      </c>
      <c r="C14" s="6" t="s">
        <v>27</v>
      </c>
      <c r="D14" s="3">
        <v>49</v>
      </c>
      <c r="E14" s="18" t="s">
        <v>19</v>
      </c>
      <c r="F14" t="s">
        <v>32</v>
      </c>
      <c r="G14" s="25" t="s">
        <v>31</v>
      </c>
      <c r="I14" s="25" t="s">
        <v>33</v>
      </c>
    </row>
    <row r="15" spans="2:9" ht="65.400000000000006" x14ac:dyDescent="0.3">
      <c r="B15" s="3">
        <v>9</v>
      </c>
      <c r="C15" s="14" t="s">
        <v>24</v>
      </c>
      <c r="D15" s="15">
        <f>(1*D12*(D14))/D13</f>
        <v>914.66666666666663</v>
      </c>
      <c r="E15" s="18" t="s">
        <v>20</v>
      </c>
    </row>
    <row r="16" spans="2:9" x14ac:dyDescent="0.3">
      <c r="B16" s="3"/>
      <c r="C16" s="6" t="s">
        <v>23</v>
      </c>
      <c r="D16" s="15">
        <f>D15/860</f>
        <v>1.0635658914728681</v>
      </c>
      <c r="E16" s="18" t="s">
        <v>21</v>
      </c>
    </row>
    <row r="17" spans="2:5" x14ac:dyDescent="0.3">
      <c r="B17" s="3">
        <v>10</v>
      </c>
      <c r="C17" s="6" t="s">
        <v>13</v>
      </c>
      <c r="D17" s="9">
        <v>58</v>
      </c>
      <c r="E17" s="18" t="s">
        <v>21</v>
      </c>
    </row>
    <row r="18" spans="2:5" x14ac:dyDescent="0.3">
      <c r="B18" s="3">
        <v>11</v>
      </c>
      <c r="C18" s="6" t="s">
        <v>14</v>
      </c>
      <c r="D18" s="9">
        <v>13.5</v>
      </c>
      <c r="E18" s="18" t="s">
        <v>21</v>
      </c>
    </row>
    <row r="19" spans="2:5" x14ac:dyDescent="0.3">
      <c r="B19" s="3">
        <v>12</v>
      </c>
      <c r="C19" s="7" t="s">
        <v>28</v>
      </c>
      <c r="D19" s="9">
        <v>3</v>
      </c>
      <c r="E19" s="18" t="s">
        <v>0</v>
      </c>
    </row>
    <row r="20" spans="2:5" x14ac:dyDescent="0.3">
      <c r="B20" s="3"/>
      <c r="C20" s="7" t="s">
        <v>15</v>
      </c>
      <c r="D20" s="9">
        <v>3</v>
      </c>
      <c r="E20" s="18"/>
    </row>
    <row r="21" spans="2:5" ht="15" thickBot="1" x14ac:dyDescent="0.35">
      <c r="B21" s="4">
        <v>13</v>
      </c>
      <c r="C21" s="8" t="s">
        <v>16</v>
      </c>
      <c r="D21" s="23" t="s">
        <v>22</v>
      </c>
      <c r="E21" s="24"/>
    </row>
  </sheetData>
  <mergeCells count="3">
    <mergeCell ref="B3:E3"/>
    <mergeCell ref="B5:E5"/>
    <mergeCell ref="D21:E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Apartments</vt:lpstr>
      <vt:lpstr>hotel</vt:lpstr>
      <vt:lpstr>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MOORTHY VELMURUGAN</cp:lastModifiedBy>
  <dcterms:created xsi:type="dcterms:W3CDTF">2026-05-14T05:37:51Z</dcterms:created>
  <dcterms:modified xsi:type="dcterms:W3CDTF">2026-07-28T08:02:20Z</dcterms:modified>
</cp:coreProperties>
</file>