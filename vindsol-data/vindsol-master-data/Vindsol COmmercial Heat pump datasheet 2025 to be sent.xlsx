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6280a2f8e92fe779/New product masters/Heat Pump Manufacturing Project/Heat Pump COsting/final costing flder/Commercial/"/>
    </mc:Choice>
  </mc:AlternateContent>
  <xr:revisionPtr revIDLastSave="190" documentId="8_{829A3006-C0D8-4715-9FE7-78867F9F271A}" xr6:coauthVersionLast="47" xr6:coauthVersionMax="47" xr10:uidLastSave="{88CDA8A2-379F-4A94-99D5-A01F125C885A}"/>
  <bookViews>
    <workbookView xWindow="-110" yWindow="-110" windowWidth="23260" windowHeight="14860" tabRatio="761" activeTab="1" xr2:uid="{00000000-000D-0000-FFFF-FFFF00000000}"/>
  </bookViews>
  <sheets>
    <sheet name="Master" sheetId="14" r:id="rId1"/>
    <sheet name="Sheet1" sheetId="15" r:id="rId2"/>
  </sheets>
  <definedNames>
    <definedName name="HP_MODE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66" i="15" l="1"/>
  <c r="Q65" i="15" s="1"/>
  <c r="P67" i="15"/>
  <c r="Q66" i="15" s="1"/>
  <c r="P68" i="15"/>
  <c r="Q67" i="15" s="1"/>
  <c r="P69" i="15"/>
  <c r="Q68" i="15" s="1"/>
  <c r="Q69" i="15"/>
  <c r="P71" i="15"/>
  <c r="Q70" i="15" s="1"/>
  <c r="P72" i="15"/>
  <c r="Q71" i="15" s="1"/>
  <c r="P73" i="15"/>
  <c r="Q72" i="15" s="1"/>
  <c r="P74" i="15"/>
  <c r="Q73" i="15" s="1"/>
  <c r="P75" i="15"/>
  <c r="Q74" i="15" s="1"/>
  <c r="H47" i="14"/>
  <c r="C19" i="14"/>
  <c r="D19" i="14"/>
  <c r="E19" i="14"/>
  <c r="F19" i="14"/>
  <c r="G19" i="14"/>
  <c r="H19" i="14"/>
  <c r="I19" i="14"/>
  <c r="J19" i="14"/>
  <c r="B19" i="14"/>
</calcChain>
</file>

<file path=xl/sharedStrings.xml><?xml version="1.0" encoding="utf-8"?>
<sst xmlns="http://schemas.openxmlformats.org/spreadsheetml/2006/main" count="135" uniqueCount="112">
  <si>
    <t>Model</t>
  </si>
  <si>
    <t>Power</t>
  </si>
  <si>
    <t>Scroll*1</t>
  </si>
  <si>
    <t>Scroll*2</t>
  </si>
  <si>
    <t>Scroll*4</t>
  </si>
  <si>
    <t>Vertical</t>
  </si>
  <si>
    <t>Rc1(DN25)</t>
  </si>
  <si>
    <t>Rc2(DN50)</t>
  </si>
  <si>
    <t>Rc2-1/2(DN65)</t>
  </si>
  <si>
    <t>Cabinet</t>
  </si>
  <si>
    <t>1550/845/1180</t>
  </si>
  <si>
    <t>2010/2330/2025</t>
  </si>
  <si>
    <t>N.W</t>
  </si>
  <si>
    <t>Rc1-1/2(DN40)</t>
  </si>
  <si>
    <t>855/775/1095</t>
  </si>
  <si>
    <t xml:space="preserve">855/775/1095 </t>
  </si>
  <si>
    <t>1400/810/1080</t>
  </si>
  <si>
    <t>2000/1005/1865</t>
  </si>
  <si>
    <t>2010/1165/2025</t>
  </si>
  <si>
    <t>2315*1165*2035</t>
  </si>
  <si>
    <t>High pressure protection</t>
  </si>
  <si>
    <t>Heat pump protection</t>
  </si>
  <si>
    <t>When water flow is too small or water temp. too high ,will prevent compressor to be damaged</t>
  </si>
  <si>
    <t>Low pressure protection</t>
  </si>
  <si>
    <t>When refrigerant leaked , prevent compressor work without pressure.</t>
  </si>
  <si>
    <t>Compressor over current protection</t>
  </si>
  <si>
    <t>Prevent compressor to work when current over max value</t>
  </si>
  <si>
    <t>Phase protection</t>
  </si>
  <si>
    <t>Wrong phase/ absent phase protection (for 380V)</t>
  </si>
  <si>
    <t>Anti-freezing protection</t>
  </si>
  <si>
    <t>Prevent water pipes and water tank freezing</t>
  </si>
  <si>
    <t>Project function</t>
  </si>
  <si>
    <t>Water level indication</t>
  </si>
  <si>
    <t>Indicate high/low water level</t>
  </si>
  <si>
    <t>constant water temp. replenishing</t>
  </si>
  <si>
    <t>Replenishing water temp. can be set, make water tank temp. constant</t>
  </si>
  <si>
    <t>Timing water temp. replenishing</t>
  </si>
  <si>
    <t>Can set heat pump replenish cold water at certain time</t>
  </si>
  <si>
    <t>Timing hot water supply</t>
  </si>
  <si>
    <t>Can supply hot water at certain time</t>
  </si>
  <si>
    <t>Cycle water(return water ) setting</t>
  </si>
  <si>
    <t>Can set cycle water temp.</t>
  </si>
  <si>
    <t>Timing start/stop heat pump</t>
  </si>
  <si>
    <t>Manual switch</t>
  </si>
  <si>
    <t>Seperated start/stop signal can be connected with solr system(for choice</t>
  </si>
  <si>
    <t>MAIN FUNCTIONS OF HEAT PUMPS</t>
  </si>
  <si>
    <t>Rated  outlet  water  temp.</t>
  </si>
  <si>
    <t>Max  outlet  water  temp.</t>
  </si>
  <si>
    <t>Rated  input  power</t>
  </si>
  <si>
    <t>Rated  input  current</t>
  </si>
  <si>
    <t>Compressor  type</t>
  </si>
  <si>
    <t>Compressor brand</t>
  </si>
  <si>
    <t>Throttle  type</t>
  </si>
  <si>
    <t>Fan   type</t>
  </si>
  <si>
    <t>Fan  direction</t>
  </si>
  <si>
    <t>Fan  No.</t>
  </si>
  <si>
    <t>Fan  Input  power</t>
  </si>
  <si>
    <t>Fan  Speed</t>
  </si>
  <si>
    <t>Evaporator  fin  type</t>
  </si>
  <si>
    <t>Evaporator  tube type</t>
  </si>
  <si>
    <t>Heat  exchanger  ype</t>
  </si>
  <si>
    <t>Heat  exchanger  No.</t>
  </si>
  <si>
    <t>Controller  type</t>
  </si>
  <si>
    <t>Ambient  Temperature</t>
  </si>
  <si>
    <t>Refrigerant   type</t>
  </si>
  <si>
    <t>Water   pipe  size</t>
  </si>
  <si>
    <t>Water   flow volume</t>
  </si>
  <si>
    <t>Unit Size</t>
  </si>
  <si>
    <t>Domestic water heat pumps
Commercial Water Heat Pumps
Next Gen Thermodynamics Heat Pumps
Swimming pool heat pump</t>
  </si>
  <si>
    <t xml:space="preserve">        Technical Data Sheet -  
Commercial  Heat Pump (Air to Water)</t>
  </si>
  <si>
    <t>380 ～415V/3PH/ 50Hz</t>
  </si>
  <si>
    <t>Electronic  expansion  valve  (EEV)</t>
  </si>
  <si>
    <t>Hydrophilic  aluminium</t>
  </si>
  <si>
    <t>Innergroove  tube</t>
  </si>
  <si>
    <t>Intelligent   &amp;  LCD</t>
  </si>
  <si>
    <t>(-10℃~+45 ℃)</t>
  </si>
  <si>
    <t>Powder  coated  steel</t>
  </si>
  <si>
    <t>Heating  capacity KW</t>
  </si>
  <si>
    <t>Heating  capacity Btu/hr</t>
  </si>
  <si>
    <t>R407c</t>
  </si>
  <si>
    <t>Complete water Heating Solutions</t>
  </si>
  <si>
    <t>VCHP-1720</t>
  </si>
  <si>
    <t>VCHP-2124</t>
  </si>
  <si>
    <t>VCHP-2528</t>
  </si>
  <si>
    <t>VCHP-3640</t>
  </si>
  <si>
    <t>VCHP-5058</t>
  </si>
  <si>
    <t>VCHP-6068</t>
  </si>
  <si>
    <t>VCHP-7076</t>
  </si>
  <si>
    <t>VCHP-8896</t>
  </si>
  <si>
    <t>Low noise  high Efficiency  axial  type</t>
  </si>
  <si>
    <t>VCHP-4247</t>
  </si>
  <si>
    <t>VCHP-100120</t>
  </si>
  <si>
    <t>VCHP-140160</t>
  </si>
  <si>
    <t>VCHP-180200</t>
  </si>
  <si>
    <t>2000*2010*1865</t>
  </si>
  <si>
    <t>Rated   heated  water  output*</t>
  </si>
  <si>
    <t>Rated   heated  water  output**</t>
  </si>
  <si>
    <t xml:space="preserve">Testing condition *: Heating: Ambient temp. (DB/WB): 25℃/20℃, water temp. (input/output): 20℃/55℃. Testing condition **: Heating: Ambient temp. (DB/WB): 20℃/15℃, water temp. (input/output): 15℃/55℃. </t>
  </si>
  <si>
    <t>Emerson Copeland / Danfoss</t>
  </si>
  <si>
    <t>High  efficiency tube in Shell heat  exchanger</t>
  </si>
  <si>
    <t>Please note that the above specifications may vary slightly from the actual product due to ongoing updates and improvements. Therefore, this information should not be considered as part of any commercial agreement. For accurate details, refer to the product label at the time of purchase or contact us directly. Our company reserves the right to make changes as necessary.</t>
  </si>
  <si>
    <t>MECHZEPHYR ENGINEERING PVT LTD
SYNO 90/ 2A4, 90/1B2 Harapanahalli Jigani Hobli, Anekal
Taluk,Bangalore Urban
Karnataka,India 560105.
Mobile : 9900095490  |  Email: deepak@vindsol.in</t>
  </si>
  <si>
    <t>¹ ² Standard conditions for hot water heating</t>
  </si>
  <si>
    <t>Buitl In protection</t>
  </si>
  <si>
    <t>Voltage protection, Current protection, Open phase, Phase reversal, Phase imbalance, Compressor high discharge temperature protection, Compressor high discharge pressure protection, Compressor overload, Anti-Freeze protection</t>
  </si>
  <si>
    <t xml:space="preserve">Standard Regular Moving model </t>
  </si>
  <si>
    <t>Non Regular Moving Models</t>
  </si>
  <si>
    <t xml:space="preserve">Not Made </t>
  </si>
  <si>
    <r>
      <rPr>
        <b/>
        <sz val="10"/>
        <color indexed="63"/>
        <rFont val="Arial Nova Cond"/>
        <family val="2"/>
      </rPr>
      <t xml:space="preserve">
Characteristics:</t>
    </r>
    <r>
      <rPr>
        <sz val="10"/>
        <color indexed="63"/>
        <rFont val="Arial Nova Cond"/>
        <family val="2"/>
      </rPr>
      <t xml:space="preserve">
1) Adopts Tube in Shell heat exchanger and with inbuilt Circulating Pump inside.
2) Efficient Rotary compressor; Safe, Reliables, Stable running &amp; durable.
3) Efficient Saginomya four-way valve; It is very efficient in defrosting in low ambient temp
4) Saginomya / SANHUA /  Electronic Expansion Valve (EEV) or Thernostatic expnasion valve 
5) Tube in tube heat exchanger inside with higher heat exchange efficiency than tube in shell heat exchanger used by others, with higher reliability &amp; longer lifetime.
6) Green &amp; Environment-friendly Refrigerant :  R410A,R407c, R134A
7)  Compressor rubber feet specially selected to reduce vibration. 
8) Reliable Design and Strict Quality Control; All products 100% are tested and run at the factory to assure proper operation of all components and safety switches.</t>
    </r>
  </si>
  <si>
    <t>Ambient temp.(℃)</t>
  </si>
  <si>
    <t>COP(water temp.15-55℃)</t>
  </si>
  <si>
    <t>COP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</si>
</sst>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0.0_ "/>
    <numFmt numFmtId="165" formatCode="0_ "/>
    <numFmt numFmtId="166" formatCode="0.00_ "/>
  </numFmts>
  <fonts count="41" x14ac:knownFonts="1">
    <font>
      <sz val="10"/>
      <color indexed="8"/>
      <name val="Calibri"/>
    </font>
    <font>
      <sz val="11"/>
      <color theme="1"/>
      <name val="Calibri"/>
      <family val="2"/>
      <scheme val="minor"/>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libri Light"/>
      <family val="2"/>
      <scheme val="major"/>
    </font>
    <font>
      <b/>
      <sz val="11"/>
      <color theme="1"/>
      <name val="Calibri"/>
      <family val="2"/>
      <scheme val="minor"/>
    </font>
    <font>
      <sz val="11"/>
      <color rgb="FFFF0000"/>
      <name val="Calibri"/>
      <family val="2"/>
      <scheme val="minor"/>
    </font>
    <font>
      <sz val="9"/>
      <color theme="0"/>
      <name val="Aptos Narrow"/>
      <family val="2"/>
    </font>
    <font>
      <sz val="11"/>
      <color theme="1"/>
      <name val="Aptos Narrow"/>
      <family val="2"/>
    </font>
    <font>
      <sz val="9"/>
      <color theme="1"/>
      <name val="Aptos Narrow"/>
      <family val="2"/>
    </font>
    <font>
      <sz val="10"/>
      <color indexed="8"/>
      <name val="Aptos Narrow"/>
      <family val="2"/>
    </font>
    <font>
      <sz val="6.5"/>
      <color indexed="8"/>
      <name val="Aptos Narrow"/>
      <family val="2"/>
    </font>
    <font>
      <sz val="8"/>
      <color theme="0"/>
      <name val="Aptos Narrow"/>
      <family val="2"/>
    </font>
    <font>
      <sz val="9"/>
      <color indexed="8"/>
      <name val="Arial Nova Cond"/>
      <family val="2"/>
    </font>
    <font>
      <b/>
      <sz val="20"/>
      <color theme="9" tint="-0.499984740745262"/>
      <name val="Arial Nova Cond"/>
      <family val="2"/>
    </font>
    <font>
      <sz val="8"/>
      <color theme="1" tint="0.34998626667073579"/>
      <name val="Arial Nova Cond"/>
      <family val="2"/>
    </font>
    <font>
      <sz val="10"/>
      <color indexed="63"/>
      <name val="Arial Nova Cond"/>
      <family val="2"/>
    </font>
    <font>
      <b/>
      <sz val="10"/>
      <color indexed="63"/>
      <name val="Arial Nova Cond"/>
      <family val="2"/>
    </font>
    <font>
      <sz val="8"/>
      <color indexed="63"/>
      <name val="Arial Nova Cond"/>
      <family val="2"/>
    </font>
    <font>
      <b/>
      <sz val="8"/>
      <color theme="0"/>
      <name val="Arial Nova Cond"/>
      <family val="2"/>
    </font>
    <font>
      <sz val="10"/>
      <color theme="1"/>
      <name val="Arial Nova Cond"/>
      <family val="2"/>
    </font>
    <font>
      <b/>
      <sz val="10"/>
      <color indexed="8"/>
      <name val="Arial Nova Cond"/>
      <family val="2"/>
    </font>
    <font>
      <b/>
      <sz val="9"/>
      <color indexed="8"/>
      <name val="Arial Nova Cond"/>
      <family val="2"/>
    </font>
    <font>
      <sz val="10"/>
      <color indexed="8"/>
      <name val="Arial Nova Cond"/>
      <family val="2"/>
    </font>
    <font>
      <sz val="9"/>
      <color theme="1"/>
      <name val="Arial Nova Cond"/>
      <family val="2"/>
    </font>
    <font>
      <sz val="6.5"/>
      <color rgb="FF404040"/>
      <name val="Arial Nova Cond"/>
      <family val="2"/>
    </font>
    <font>
      <sz val="6.5"/>
      <color theme="1"/>
      <name val="Arial Nova Cond"/>
      <family val="2"/>
    </font>
    <font>
      <sz val="6.5"/>
      <color indexed="8"/>
      <name val="Arial Nova Cond"/>
      <family val="2"/>
    </font>
    <font>
      <sz val="8"/>
      <color indexed="8"/>
      <name val="Arial Nova Cond"/>
      <family val="2"/>
    </font>
  </fonts>
  <fills count="38">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008E40"/>
        <bgColor indexed="64"/>
      </patternFill>
    </fill>
    <fill>
      <patternFill patternType="solid">
        <fgColor theme="9" tint="-0.249977111117893"/>
        <bgColor indexed="64"/>
      </patternFill>
    </fill>
    <fill>
      <patternFill patternType="solid">
        <fgColor rgb="FFFF0000"/>
        <bgColor indexed="64"/>
      </patternFill>
    </fill>
    <fill>
      <patternFill patternType="solid">
        <fgColor theme="9" tint="0.59999389629810485"/>
        <bgColor indexed="64"/>
      </patternFill>
    </fill>
    <fill>
      <patternFill patternType="solid">
        <fgColor theme="7" tint="0.79998168889431442"/>
        <bgColor indexed="64"/>
      </patternFill>
    </fill>
  </fills>
  <borders count="18">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s>
  <cellStyleXfs count="46">
    <xf numFmtId="0" fontId="0" fillId="0" borderId="0" applyNumberFormat="0" applyFill="0" applyBorder="0" applyProtection="0">
      <alignment horizontal="left" vertical="top"/>
    </xf>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4" fillId="26" borderId="0" applyNumberFormat="0" applyBorder="0" applyAlignment="0" applyProtection="0"/>
    <xf numFmtId="0" fontId="5" fillId="27" borderId="6" applyNumberFormat="0" applyAlignment="0" applyProtection="0"/>
    <xf numFmtId="0" fontId="6" fillId="28" borderId="7" applyNumberFormat="0" applyAlignment="0" applyProtection="0"/>
    <xf numFmtId="0" fontId="7" fillId="0" borderId="0" applyNumberFormat="0" applyFill="0" applyBorder="0" applyAlignment="0" applyProtection="0"/>
    <xf numFmtId="0" fontId="8" fillId="29" borderId="0" applyNumberFormat="0" applyBorder="0" applyAlignment="0" applyProtection="0"/>
    <xf numFmtId="0" fontId="9" fillId="0" borderId="8" applyNumberFormat="0" applyFill="0" applyAlignment="0" applyProtection="0"/>
    <xf numFmtId="0" fontId="10" fillId="0" borderId="9" applyNumberFormat="0" applyFill="0" applyAlignment="0" applyProtection="0"/>
    <xf numFmtId="0" fontId="11" fillId="0" borderId="10" applyNumberFormat="0" applyFill="0" applyAlignment="0" applyProtection="0"/>
    <xf numFmtId="0" fontId="11" fillId="0" borderId="0" applyNumberFormat="0" applyFill="0" applyBorder="0" applyAlignment="0" applyProtection="0"/>
    <xf numFmtId="0" fontId="12" fillId="30" borderId="6" applyNumberFormat="0" applyAlignment="0" applyProtection="0"/>
    <xf numFmtId="0" fontId="13" fillId="0" borderId="11" applyNumberFormat="0" applyFill="0" applyAlignment="0" applyProtection="0"/>
    <xf numFmtId="0" fontId="14" fillId="31" borderId="0" applyNumberFormat="0" applyBorder="0" applyAlignment="0" applyProtection="0"/>
    <xf numFmtId="0" fontId="2" fillId="0" borderId="0"/>
    <xf numFmtId="0" fontId="2" fillId="32" borderId="12" applyNumberFormat="0" applyFont="0" applyAlignment="0" applyProtection="0"/>
    <xf numFmtId="0" fontId="15" fillId="27" borderId="13" applyNumberFormat="0" applyAlignment="0" applyProtection="0"/>
    <xf numFmtId="0" fontId="16" fillId="0" borderId="0" applyNumberFormat="0" applyFill="0" applyBorder="0" applyAlignment="0" applyProtection="0"/>
    <xf numFmtId="0" fontId="17" fillId="0" borderId="14" applyNumberFormat="0" applyFill="0" applyAlignment="0" applyProtection="0"/>
    <xf numFmtId="0" fontId="18" fillId="0" borderId="0" applyNumberFormat="0" applyFill="0" applyBorder="0" applyAlignment="0" applyProtection="0"/>
    <xf numFmtId="0" fontId="1" fillId="0" borderId="0"/>
    <xf numFmtId="0" fontId="1" fillId="0" borderId="0"/>
    <xf numFmtId="44" fontId="1" fillId="0" borderId="0" applyFont="0" applyFill="0" applyBorder="0" applyAlignment="0" applyProtection="0"/>
  </cellStyleXfs>
  <cellXfs count="46">
    <xf numFmtId="0" fontId="0" fillId="0" borderId="0" xfId="0">
      <alignment horizontal="left" vertical="top"/>
    </xf>
    <xf numFmtId="0" fontId="20" fillId="0" borderId="0" xfId="37" applyFont="1"/>
    <xf numFmtId="0" fontId="21" fillId="0" borderId="0" xfId="37" applyFont="1" applyAlignment="1">
      <alignment vertical="center"/>
    </xf>
    <xf numFmtId="0" fontId="22" fillId="0" borderId="0" xfId="0" applyFont="1" applyAlignment="1">
      <alignment horizontal="center" vertical="top"/>
    </xf>
    <xf numFmtId="0" fontId="23" fillId="0" borderId="0" xfId="0" applyFont="1" applyAlignment="1">
      <alignment horizontal="center" vertical="top"/>
    </xf>
    <xf numFmtId="0" fontId="24" fillId="34" borderId="3" xfId="37" applyFont="1" applyFill="1" applyBorder="1" applyAlignment="1">
      <alignment wrapText="1"/>
    </xf>
    <xf numFmtId="0" fontId="24" fillId="34" borderId="3" xfId="37" applyFont="1" applyFill="1" applyBorder="1"/>
    <xf numFmtId="0" fontId="22" fillId="0" borderId="0" xfId="0" applyFont="1" applyAlignment="1">
      <alignment horizontal="center" vertical="center"/>
    </xf>
    <xf numFmtId="0" fontId="22" fillId="0" borderId="0" xfId="0" applyFont="1" applyBorder="1" applyAlignment="1">
      <alignment horizontal="center" vertical="center"/>
    </xf>
    <xf numFmtId="0" fontId="22" fillId="0" borderId="0" xfId="0" applyFont="1" applyBorder="1" applyAlignment="1">
      <alignment horizontal="center" vertical="top"/>
    </xf>
    <xf numFmtId="0" fontId="25" fillId="0" borderId="1" xfId="0" applyFont="1" applyBorder="1" applyAlignment="1">
      <alignment horizontal="center" vertical="center" wrapText="1"/>
    </xf>
    <xf numFmtId="0" fontId="31" fillId="33" borderId="1" xfId="37" applyFont="1" applyFill="1" applyBorder="1" applyAlignment="1">
      <alignment horizontal="center" vertical="center"/>
    </xf>
    <xf numFmtId="0" fontId="25" fillId="0" borderId="1" xfId="0" applyFont="1" applyBorder="1" applyAlignment="1">
      <alignment horizontal="center" vertical="center"/>
    </xf>
    <xf numFmtId="0" fontId="33" fillId="36" borderId="1" xfId="0" applyFont="1" applyFill="1" applyBorder="1" applyAlignment="1">
      <alignment horizontal="center" vertical="center"/>
    </xf>
    <xf numFmtId="0" fontId="34" fillId="37" borderId="1" xfId="0" applyFont="1" applyFill="1" applyBorder="1" applyAlignment="1">
      <alignment horizontal="center" vertical="center"/>
    </xf>
    <xf numFmtId="0" fontId="35" fillId="35" borderId="1" xfId="0" applyFont="1" applyFill="1" applyBorder="1" applyAlignment="1">
      <alignment horizontal="center" vertical="center"/>
    </xf>
    <xf numFmtId="165" fontId="25" fillId="0" borderId="1" xfId="0" applyNumberFormat="1" applyFont="1" applyBorder="1" applyAlignment="1">
      <alignment horizontal="center" vertical="center"/>
    </xf>
    <xf numFmtId="165" fontId="25" fillId="35" borderId="1" xfId="0" applyNumberFormat="1" applyFont="1" applyFill="1" applyBorder="1" applyAlignment="1">
      <alignment horizontal="center" vertical="center"/>
    </xf>
    <xf numFmtId="166" fontId="25" fillId="0" borderId="1" xfId="0" applyNumberFormat="1" applyFont="1" applyBorder="1" applyAlignment="1">
      <alignment horizontal="center" vertical="center"/>
    </xf>
    <xf numFmtId="0" fontId="35" fillId="0" borderId="1" xfId="0" applyFont="1" applyBorder="1" applyAlignment="1">
      <alignment horizontal="center" vertical="center"/>
    </xf>
    <xf numFmtId="164" fontId="25" fillId="0" borderId="1" xfId="0" applyNumberFormat="1" applyFont="1" applyBorder="1" applyAlignment="1">
      <alignment horizontal="center" vertical="center"/>
    </xf>
    <xf numFmtId="0" fontId="36" fillId="0" borderId="1" xfId="0" applyFont="1" applyBorder="1" applyAlignment="1">
      <alignment horizontal="center" vertical="center"/>
    </xf>
    <xf numFmtId="164" fontId="25" fillId="35" borderId="1" xfId="0" applyNumberFormat="1" applyFont="1" applyFill="1" applyBorder="1" applyAlignment="1">
      <alignment horizontal="center" vertical="center"/>
    </xf>
    <xf numFmtId="0" fontId="37" fillId="0" borderId="0" xfId="0" applyFont="1" applyAlignment="1"/>
    <xf numFmtId="0" fontId="38" fillId="0" borderId="0" xfId="0" applyFont="1" applyAlignment="1"/>
    <xf numFmtId="0" fontId="39" fillId="0" borderId="0" xfId="0" applyFont="1" applyAlignment="1">
      <alignment horizontal="center" vertical="center"/>
    </xf>
    <xf numFmtId="0" fontId="35" fillId="36" borderId="1" xfId="0" applyFont="1" applyFill="1" applyBorder="1" applyAlignment="1">
      <alignment horizontal="center" vertical="center"/>
    </xf>
    <xf numFmtId="0" fontId="40" fillId="0" borderId="0" xfId="0" applyFont="1" applyBorder="1" applyAlignment="1">
      <alignment horizontal="left" vertical="center"/>
    </xf>
    <xf numFmtId="0" fontId="40" fillId="0" borderId="0" xfId="0" applyFont="1" applyBorder="1" applyAlignment="1">
      <alignment horizontal="center" vertical="center"/>
    </xf>
    <xf numFmtId="0" fontId="25" fillId="37" borderId="1" xfId="0" applyFont="1" applyFill="1" applyBorder="1" applyAlignment="1">
      <alignment horizontal="center" vertical="center"/>
    </xf>
    <xf numFmtId="0" fontId="25" fillId="0" borderId="1" xfId="0" applyFont="1" applyBorder="1" applyAlignment="1">
      <alignment horizontal="center" vertical="center"/>
    </xf>
    <xf numFmtId="0" fontId="37" fillId="0" borderId="0" xfId="0" applyFont="1" applyAlignment="1">
      <alignment horizontal="left" vertical="top" wrapText="1"/>
    </xf>
    <xf numFmtId="0" fontId="19" fillId="34" borderId="0" xfId="37" applyFont="1" applyFill="1" applyAlignment="1">
      <alignment horizontal="left" vertical="top" wrapText="1"/>
    </xf>
    <xf numFmtId="0" fontId="19" fillId="34" borderId="15" xfId="37" applyFont="1" applyFill="1" applyBorder="1" applyAlignment="1">
      <alignment horizontal="left" vertical="top" wrapText="1"/>
    </xf>
    <xf numFmtId="0" fontId="19" fillId="34" borderId="0" xfId="37" applyFont="1" applyFill="1" applyAlignment="1">
      <alignment horizontal="center" vertical="center" wrapText="1"/>
    </xf>
    <xf numFmtId="0" fontId="27" fillId="0" borderId="1" xfId="37" applyFont="1" applyBorder="1" applyAlignment="1">
      <alignment horizontal="center" vertical="top" wrapText="1"/>
    </xf>
    <xf numFmtId="0" fontId="26" fillId="0" borderId="1" xfId="37" applyFont="1" applyBorder="1" applyAlignment="1">
      <alignment horizontal="right" vertical="top" wrapText="1"/>
    </xf>
    <xf numFmtId="0" fontId="32" fillId="0" borderId="1" xfId="37" applyFont="1" applyBorder="1" applyAlignment="1">
      <alignment horizontal="center" vertical="center"/>
    </xf>
    <xf numFmtId="0" fontId="25" fillId="0" borderId="1" xfId="0" applyFont="1" applyBorder="1" applyAlignment="1">
      <alignment horizontal="center" vertical="center" wrapText="1"/>
    </xf>
    <xf numFmtId="0" fontId="28" fillId="0" borderId="2" xfId="37" applyFont="1" applyBorder="1" applyAlignment="1">
      <alignment horizontal="left" vertical="center" wrapText="1"/>
    </xf>
    <xf numFmtId="0" fontId="28" fillId="0" borderId="5" xfId="37" applyFont="1" applyBorder="1" applyAlignment="1">
      <alignment horizontal="left" vertical="center" wrapText="1"/>
    </xf>
    <xf numFmtId="0" fontId="30" fillId="0" borderId="5" xfId="37" applyFont="1" applyBorder="1" applyAlignment="1">
      <alignment horizontal="center" vertical="top" wrapText="1"/>
    </xf>
    <xf numFmtId="0" fontId="30" fillId="0" borderId="4" xfId="37" applyFont="1" applyBorder="1" applyAlignment="1">
      <alignment horizontal="center" vertical="top" wrapText="1"/>
    </xf>
    <xf numFmtId="0" fontId="31" fillId="33" borderId="16" xfId="37" applyFont="1" applyFill="1" applyBorder="1" applyAlignment="1">
      <alignment horizontal="center" vertical="center"/>
    </xf>
    <xf numFmtId="0" fontId="31" fillId="33" borderId="5" xfId="37" applyFont="1" applyFill="1" applyBorder="1" applyAlignment="1">
      <alignment horizontal="center" vertical="center"/>
    </xf>
    <xf numFmtId="0" fontId="31" fillId="33" borderId="17" xfId="37" applyFont="1" applyFill="1" applyBorder="1" applyAlignment="1">
      <alignment horizontal="center" vertical="center"/>
    </xf>
  </cellXfs>
  <cellStyles count="4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urrency 2" xfId="45" xr:uid="{031F6684-BEE2-40A6-A38C-E2932A47AD03}"/>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ustomBuiltin="1"/>
    <cellStyle name="Normal 2" xfId="37" xr:uid="{00000000-0005-0000-0000-000025000000}"/>
    <cellStyle name="Normal 2 2" xfId="44" xr:uid="{C053A40B-628E-4180-B473-D1290F6DE01D}"/>
    <cellStyle name="Normal 3" xfId="43" xr:uid="{EB70A043-5117-452F-96AF-DAA70E311629}"/>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dLbls>
          <c:showLegendKey val="0"/>
          <c:showVal val="0"/>
          <c:showCatName val="0"/>
          <c:showSerName val="0"/>
          <c:showPercent val="0"/>
          <c:showBubbleSize val="0"/>
        </c:dLbls>
        <c:marker val="1"/>
        <c:smooth val="0"/>
        <c:axId val="1120434512"/>
        <c:axId val="1120434992"/>
      </c:lineChart>
      <c:catAx>
        <c:axId val="112043451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434992"/>
        <c:crosses val="autoZero"/>
        <c:auto val="1"/>
        <c:lblAlgn val="ctr"/>
        <c:lblOffset val="100"/>
        <c:noMultiLvlLbl val="0"/>
      </c:catAx>
      <c:valAx>
        <c:axId val="1120434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434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cap="none" spc="0" normalizeH="0" baseline="0">
                <a:solidFill>
                  <a:schemeClr val="dk1">
                    <a:lumMod val="50000"/>
                    <a:lumOff val="50000"/>
                  </a:schemeClr>
                </a:solidFill>
                <a:latin typeface="+mj-lt"/>
                <a:ea typeface="+mj-ea"/>
                <a:cs typeface="+mj-cs"/>
              </a:defRPr>
            </a:pPr>
            <a:r>
              <a:rPr lang="en-IN" sz="2400">
                <a:solidFill>
                  <a:schemeClr val="accent6">
                    <a:lumMod val="75000"/>
                  </a:schemeClr>
                </a:solidFill>
              </a:rPr>
              <a:t>C.O.P Test Curve </a:t>
            </a:r>
          </a:p>
        </c:rich>
      </c:tx>
      <c:overlay val="0"/>
      <c:spPr>
        <a:noFill/>
        <a:ln>
          <a:noFill/>
        </a:ln>
        <a:effectLst/>
      </c:spPr>
      <c:txPr>
        <a:bodyPr rot="0" spcFirstLastPara="1" vertOverflow="ellipsis" vert="horz" wrap="square" anchor="ctr" anchorCtr="1"/>
        <a:lstStyle/>
        <a:p>
          <a:pPr>
            <a:defRPr sz="24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0"/>
          <c:order val="0"/>
          <c:tx>
            <c:v>Water temp.15-55℃</c:v>
          </c:tx>
          <c:spPr>
            <a:ln w="2222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numRef>
              <c:f>Sheet1!$N$5:$X$5</c:f>
              <c:numCache>
                <c:formatCode>General</c:formatCode>
                <c:ptCount val="11"/>
                <c:pt idx="0">
                  <c:v>-5</c:v>
                </c:pt>
                <c:pt idx="1">
                  <c:v>0</c:v>
                </c:pt>
                <c:pt idx="2">
                  <c:v>5</c:v>
                </c:pt>
                <c:pt idx="3">
                  <c:v>10</c:v>
                </c:pt>
                <c:pt idx="4">
                  <c:v>15</c:v>
                </c:pt>
                <c:pt idx="5">
                  <c:v>20</c:v>
                </c:pt>
                <c:pt idx="6">
                  <c:v>25</c:v>
                </c:pt>
                <c:pt idx="7">
                  <c:v>30</c:v>
                </c:pt>
                <c:pt idx="8">
                  <c:v>35</c:v>
                </c:pt>
                <c:pt idx="9">
                  <c:v>40</c:v>
                </c:pt>
                <c:pt idx="10">
                  <c:v>45</c:v>
                </c:pt>
              </c:numCache>
            </c:numRef>
          </c:cat>
          <c:val>
            <c:numRef>
              <c:f>Sheet1!$N$6:$X$6</c:f>
              <c:numCache>
                <c:formatCode>General</c:formatCode>
                <c:ptCount val="11"/>
                <c:pt idx="0">
                  <c:v>2.5099999999999998</c:v>
                </c:pt>
                <c:pt idx="1">
                  <c:v>2.92</c:v>
                </c:pt>
                <c:pt idx="2">
                  <c:v>3.38</c:v>
                </c:pt>
                <c:pt idx="3">
                  <c:v>3.9</c:v>
                </c:pt>
                <c:pt idx="4">
                  <c:v>4.29</c:v>
                </c:pt>
                <c:pt idx="5">
                  <c:v>4.9000000000000004</c:v>
                </c:pt>
                <c:pt idx="6">
                  <c:v>5.01</c:v>
                </c:pt>
                <c:pt idx="7">
                  <c:v>5.25</c:v>
                </c:pt>
                <c:pt idx="8">
                  <c:v>5.56</c:v>
                </c:pt>
                <c:pt idx="9">
                  <c:v>5.83</c:v>
                </c:pt>
                <c:pt idx="10">
                  <c:v>6.1</c:v>
                </c:pt>
              </c:numCache>
            </c:numRef>
          </c:val>
          <c:smooth val="0"/>
          <c:extLst>
            <c:ext xmlns:c16="http://schemas.microsoft.com/office/drawing/2014/chart" uri="{C3380CC4-5D6E-409C-BE32-E72D297353CC}">
              <c16:uniqueId val="{00000000-7175-4318-892A-14B202F640AD}"/>
            </c:ext>
          </c:extLst>
        </c:ser>
        <c:dLbls>
          <c:dLblPos val="t"/>
          <c:showLegendKey val="0"/>
          <c:showVal val="1"/>
          <c:showCatName val="0"/>
          <c:showSerName val="0"/>
          <c:showPercent val="0"/>
          <c:showBubbleSize val="0"/>
        </c:dLbls>
        <c:smooth val="0"/>
        <c:axId val="1120441712"/>
        <c:axId val="1120442192"/>
      </c:lineChart>
      <c:catAx>
        <c:axId val="112044171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r>
                  <a:rPr lang="en-IN" sz="1400"/>
                  <a:t>Ambient Temp.(C°)</a:t>
                </a:r>
              </a:p>
            </c:rich>
          </c:tx>
          <c:layout>
            <c:manualLayout>
              <c:xMode val="edge"/>
              <c:yMode val="edge"/>
              <c:x val="0.43474055345070062"/>
              <c:y val="0.96457547495843166"/>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20442192"/>
        <c:crosses val="autoZero"/>
        <c:auto val="1"/>
        <c:lblAlgn val="ctr"/>
        <c:lblOffset val="100"/>
        <c:noMultiLvlLbl val="0"/>
      </c:catAx>
      <c:valAx>
        <c:axId val="1120442192"/>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800"/>
                  <a:t>C.O.P</a:t>
                </a:r>
              </a:p>
            </c:rich>
          </c:tx>
          <c:layout>
            <c:manualLayout>
              <c:xMode val="edge"/>
              <c:yMode val="edge"/>
              <c:x val="8.4926282983304152E-2"/>
              <c:y val="0.40961189432752504"/>
            </c:manualLayout>
          </c:layout>
          <c:overlay val="0"/>
          <c:spPr>
            <a:noFill/>
            <a:ln>
              <a:noFill/>
            </a:ln>
            <a:effectLst/>
          </c:spPr>
          <c:txPr>
            <a:bodyPr rot="-540000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20441712"/>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1200" b="0" i="0" u="none" strike="noStrike" kern="1200" baseline="0">
                <a:solidFill>
                  <a:schemeClr val="dk1">
                    <a:lumMod val="65000"/>
                    <a:lumOff val="35000"/>
                  </a:schemeClr>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jpe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67372</xdr:colOff>
      <xdr:row>50</xdr:row>
      <xdr:rowOff>130009</xdr:rowOff>
    </xdr:from>
    <xdr:to>
      <xdr:col>0</xdr:col>
      <xdr:colOff>1599379</xdr:colOff>
      <xdr:row>51</xdr:row>
      <xdr:rowOff>212892</xdr:rowOff>
    </xdr:to>
    <xdr:pic>
      <xdr:nvPicPr>
        <xdr:cNvPr id="11" name="Picture 20">
          <a:extLst>
            <a:ext uri="{FF2B5EF4-FFF2-40B4-BE49-F238E27FC236}">
              <a16:creationId xmlns:a16="http://schemas.microsoft.com/office/drawing/2014/main" id="{8A275E93-EEDB-49E7-A3B9-221C9DAAA7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372" y="16351752"/>
          <a:ext cx="1532007" cy="266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648224</xdr:colOff>
      <xdr:row>1</xdr:row>
      <xdr:rowOff>1468046</xdr:rowOff>
    </xdr:from>
    <xdr:to>
      <xdr:col>12</xdr:col>
      <xdr:colOff>499771</xdr:colOff>
      <xdr:row>1</xdr:row>
      <xdr:rowOff>2191946</xdr:rowOff>
    </xdr:to>
    <xdr:pic>
      <xdr:nvPicPr>
        <xdr:cNvPr id="12" name="Picture 2">
          <a:extLst>
            <a:ext uri="{FF2B5EF4-FFF2-40B4-BE49-F238E27FC236}">
              <a16:creationId xmlns:a16="http://schemas.microsoft.com/office/drawing/2014/main" id="{C379E16A-1CE5-448F-A79F-EDC97654B8C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452624" y="2217346"/>
          <a:ext cx="715147"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531905</xdr:colOff>
      <xdr:row>1</xdr:row>
      <xdr:rowOff>1461663</xdr:rowOff>
    </xdr:from>
    <xdr:to>
      <xdr:col>11</xdr:col>
      <xdr:colOff>382485</xdr:colOff>
      <xdr:row>1</xdr:row>
      <xdr:rowOff>2185563</xdr:rowOff>
    </xdr:to>
    <xdr:pic>
      <xdr:nvPicPr>
        <xdr:cNvPr id="13" name="Picture 3">
          <a:extLst>
            <a:ext uri="{FF2B5EF4-FFF2-40B4-BE49-F238E27FC236}">
              <a16:creationId xmlns:a16="http://schemas.microsoft.com/office/drawing/2014/main" id="{D15DBFAB-D6FA-46B6-8EE9-300A3539434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536205" y="2210963"/>
          <a:ext cx="71418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401303</xdr:colOff>
      <xdr:row>1</xdr:row>
      <xdr:rowOff>1438714</xdr:rowOff>
    </xdr:from>
    <xdr:to>
      <xdr:col>10</xdr:col>
      <xdr:colOff>278251</xdr:colOff>
      <xdr:row>1</xdr:row>
      <xdr:rowOff>2156264</xdr:rowOff>
    </xdr:to>
    <xdr:pic>
      <xdr:nvPicPr>
        <xdr:cNvPr id="14" name="Picture 4">
          <a:extLst>
            <a:ext uri="{FF2B5EF4-FFF2-40B4-BE49-F238E27FC236}">
              <a16:creationId xmlns:a16="http://schemas.microsoft.com/office/drawing/2014/main" id="{C5A6D57B-05D5-4491-B740-E8EC7FBA0CC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605503" y="2188014"/>
          <a:ext cx="715148" cy="717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301923</xdr:colOff>
      <xdr:row>1</xdr:row>
      <xdr:rowOff>153147</xdr:rowOff>
    </xdr:from>
    <xdr:to>
      <xdr:col>12</xdr:col>
      <xdr:colOff>334012</xdr:colOff>
      <xdr:row>1</xdr:row>
      <xdr:rowOff>1214977</xdr:rowOff>
    </xdr:to>
    <xdr:pic>
      <xdr:nvPicPr>
        <xdr:cNvPr id="15" name="Picture 6">
          <a:extLst>
            <a:ext uri="{FF2B5EF4-FFF2-40B4-BE49-F238E27FC236}">
              <a16:creationId xmlns:a16="http://schemas.microsoft.com/office/drawing/2014/main" id="{7006CBE9-53B8-45F8-B56F-84CC09C496AC}"/>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506123" y="902447"/>
          <a:ext cx="2597489" cy="1061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298450</xdr:colOff>
      <xdr:row>2</xdr:row>
      <xdr:rowOff>98683</xdr:rowOff>
    </xdr:from>
    <xdr:to>
      <xdr:col>12</xdr:col>
      <xdr:colOff>596900</xdr:colOff>
      <xdr:row>2</xdr:row>
      <xdr:rowOff>2209585</xdr:rowOff>
    </xdr:to>
    <xdr:pic>
      <xdr:nvPicPr>
        <xdr:cNvPr id="16" name="Picture 7">
          <a:extLst>
            <a:ext uri="{FF2B5EF4-FFF2-40B4-BE49-F238E27FC236}">
              <a16:creationId xmlns:a16="http://schemas.microsoft.com/office/drawing/2014/main" id="{0D26DC41-2D86-4F85-9FFC-A810B399F00F}"/>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194300" y="3127633"/>
          <a:ext cx="6223000" cy="21109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112409</xdr:colOff>
      <xdr:row>1</xdr:row>
      <xdr:rowOff>384565</xdr:rowOff>
    </xdr:from>
    <xdr:to>
      <xdr:col>0</xdr:col>
      <xdr:colOff>1436040</xdr:colOff>
      <xdr:row>1</xdr:row>
      <xdr:rowOff>2038509</xdr:rowOff>
    </xdr:to>
    <xdr:pic>
      <xdr:nvPicPr>
        <xdr:cNvPr id="17" name="Picture 6">
          <a:extLst>
            <a:ext uri="{FF2B5EF4-FFF2-40B4-BE49-F238E27FC236}">
              <a16:creationId xmlns:a16="http://schemas.microsoft.com/office/drawing/2014/main" id="{2A564F44-5F5E-40AD-98C1-2B5E3A643741}"/>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12409" y="1137494"/>
          <a:ext cx="1323631" cy="16539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1739634</xdr:colOff>
      <xdr:row>1</xdr:row>
      <xdr:rowOff>389029</xdr:rowOff>
    </xdr:from>
    <xdr:to>
      <xdr:col>3</xdr:col>
      <xdr:colOff>276249</xdr:colOff>
      <xdr:row>1</xdr:row>
      <xdr:rowOff>1981084</xdr:rowOff>
    </xdr:to>
    <xdr:pic>
      <xdr:nvPicPr>
        <xdr:cNvPr id="19" name="Picture 24">
          <a:extLst>
            <a:ext uri="{FF2B5EF4-FFF2-40B4-BE49-F238E27FC236}">
              <a16:creationId xmlns:a16="http://schemas.microsoft.com/office/drawing/2014/main" id="{241AF4D7-0890-4354-B3AF-0AD8382D66D4}"/>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t="5441" b="5441"/>
        <a:stretch>
          <a:fillRect/>
        </a:stretch>
      </xdr:blipFill>
      <xdr:spPr bwMode="auto">
        <a:xfrm>
          <a:off x="1739634" y="1136088"/>
          <a:ext cx="1875594" cy="1592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292100</xdr:colOff>
      <xdr:row>0</xdr:row>
      <xdr:rowOff>107950</xdr:rowOff>
    </xdr:from>
    <xdr:to>
      <xdr:col>1</xdr:col>
      <xdr:colOff>515914</xdr:colOff>
      <xdr:row>0</xdr:row>
      <xdr:rowOff>609600</xdr:rowOff>
    </xdr:to>
    <xdr:pic>
      <xdr:nvPicPr>
        <xdr:cNvPr id="20" name="Picture 1">
          <a:extLst>
            <a:ext uri="{FF2B5EF4-FFF2-40B4-BE49-F238E27FC236}">
              <a16:creationId xmlns:a16="http://schemas.microsoft.com/office/drawing/2014/main" id="{EA093740-A893-495C-AE28-E7B2F40A7981}"/>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92100" y="107950"/>
          <a:ext cx="2033564" cy="50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527051</xdr:colOff>
      <xdr:row>1</xdr:row>
      <xdr:rowOff>152400</xdr:rowOff>
    </xdr:from>
    <xdr:to>
      <xdr:col>6</xdr:col>
      <xdr:colOff>25401</xdr:colOff>
      <xdr:row>1</xdr:row>
      <xdr:rowOff>2120900</xdr:rowOff>
    </xdr:to>
    <xdr:pic>
      <xdr:nvPicPr>
        <xdr:cNvPr id="18" name="Picture 17">
          <a:extLst>
            <a:ext uri="{FF2B5EF4-FFF2-40B4-BE49-F238E27FC236}">
              <a16:creationId xmlns:a16="http://schemas.microsoft.com/office/drawing/2014/main" id="{507BE832-5D23-419A-9978-BD04CA4D1315}"/>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b="12504"/>
        <a:stretch/>
      </xdr:blipFill>
      <xdr:spPr>
        <a:xfrm>
          <a:off x="3930651" y="901700"/>
          <a:ext cx="1905000" cy="1968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487715</xdr:colOff>
      <xdr:row>17</xdr:row>
      <xdr:rowOff>127705</xdr:rowOff>
    </xdr:from>
    <xdr:to>
      <xdr:col>22</xdr:col>
      <xdr:colOff>59090</xdr:colOff>
      <xdr:row>34</xdr:row>
      <xdr:rowOff>22225</xdr:rowOff>
    </xdr:to>
    <xdr:graphicFrame macro="">
      <xdr:nvGraphicFramePr>
        <xdr:cNvPr id="5" name="Chart 4">
          <a:extLst>
            <a:ext uri="{FF2B5EF4-FFF2-40B4-BE49-F238E27FC236}">
              <a16:creationId xmlns:a16="http://schemas.microsoft.com/office/drawing/2014/main" id="{859802E8-DA28-665D-A431-0766101334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343958</xdr:colOff>
      <xdr:row>11</xdr:row>
      <xdr:rowOff>158750</xdr:rowOff>
    </xdr:from>
    <xdr:to>
      <xdr:col>28</xdr:col>
      <xdr:colOff>202846</xdr:colOff>
      <xdr:row>45</xdr:row>
      <xdr:rowOff>17639</xdr:rowOff>
    </xdr:to>
    <xdr:graphicFrame macro="">
      <xdr:nvGraphicFramePr>
        <xdr:cNvPr id="6" name="Chart 5">
          <a:extLst>
            <a:ext uri="{FF2B5EF4-FFF2-40B4-BE49-F238E27FC236}">
              <a16:creationId xmlns:a16="http://schemas.microsoft.com/office/drawing/2014/main" id="{20668A39-33F5-B46C-3EBC-FE6C063732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53"/>
  <sheetViews>
    <sheetView topLeftCell="A50" zoomScale="110" zoomScaleNormal="100" workbookViewId="0">
      <selection activeCell="H64" sqref="H64"/>
    </sheetView>
  </sheetViews>
  <sheetFormatPr defaultColWidth="13.796875" defaultRowHeight="13" x14ac:dyDescent="0.3"/>
  <cols>
    <col min="1" max="1" width="28.3984375" style="7" customWidth="1"/>
    <col min="2" max="2" width="12.59765625" style="7" customWidth="1"/>
    <col min="3" max="3" width="11.296875" style="7" bestFit="1" customWidth="1"/>
    <col min="4" max="4" width="11.69921875" style="7" bestFit="1" customWidth="1"/>
    <col min="5" max="7" width="13.09765625" style="7" bestFit="1" customWidth="1"/>
    <col min="8" max="8" width="13.19921875" style="7" bestFit="1" customWidth="1"/>
    <col min="9" max="9" width="13.5" style="7" customWidth="1"/>
    <col min="10" max="10" width="13.19921875" style="7" bestFit="1" customWidth="1"/>
    <col min="11" max="12" width="13.59765625" style="7" bestFit="1" customWidth="1"/>
    <col min="13" max="13" width="13.19921875" style="7" bestFit="1" customWidth="1"/>
    <col min="14" max="16384" width="13.796875" style="3"/>
  </cols>
  <sheetData>
    <row r="1" spans="1:13" s="1" customFormat="1" ht="59" customHeight="1" x14ac:dyDescent="0.35">
      <c r="A1" s="36" t="s">
        <v>69</v>
      </c>
      <c r="B1" s="36"/>
      <c r="C1" s="36"/>
      <c r="D1" s="36"/>
      <c r="E1" s="36"/>
      <c r="F1" s="36"/>
      <c r="G1" s="36"/>
      <c r="H1" s="36"/>
      <c r="I1" s="36"/>
      <c r="J1" s="36"/>
      <c r="K1" s="36"/>
      <c r="L1" s="36"/>
      <c r="M1" s="36"/>
    </row>
    <row r="2" spans="1:13" s="1" customFormat="1" ht="179.5" customHeight="1" x14ac:dyDescent="0.35">
      <c r="A2" s="35"/>
      <c r="B2" s="35"/>
      <c r="C2" s="35"/>
      <c r="D2" s="35"/>
      <c r="E2" s="35"/>
      <c r="F2" s="35"/>
      <c r="G2" s="35"/>
      <c r="H2" s="35"/>
      <c r="I2" s="35"/>
      <c r="J2" s="35"/>
      <c r="K2" s="35"/>
      <c r="L2" s="35"/>
      <c r="M2" s="35"/>
    </row>
    <row r="3" spans="1:13" s="1" customFormat="1" ht="182" customHeight="1" x14ac:dyDescent="0.35">
      <c r="A3" s="39" t="s">
        <v>108</v>
      </c>
      <c r="B3" s="40"/>
      <c r="C3" s="40"/>
      <c r="D3" s="40"/>
      <c r="E3" s="40"/>
      <c r="F3" s="41"/>
      <c r="G3" s="41"/>
      <c r="H3" s="41"/>
      <c r="I3" s="41"/>
      <c r="J3" s="41"/>
      <c r="K3" s="41"/>
      <c r="L3" s="41"/>
      <c r="M3" s="42"/>
    </row>
    <row r="4" spans="1:13" s="1" customFormat="1" ht="14.5" customHeight="1" x14ac:dyDescent="0.35">
      <c r="A4" s="43" t="s">
        <v>45</v>
      </c>
      <c r="B4" s="44"/>
      <c r="C4" s="44"/>
      <c r="D4" s="44"/>
      <c r="E4" s="44"/>
      <c r="F4" s="44"/>
      <c r="G4" s="44"/>
      <c r="H4" s="44"/>
      <c r="I4" s="44"/>
      <c r="J4" s="44"/>
      <c r="K4" s="44"/>
      <c r="L4" s="44"/>
      <c r="M4" s="45"/>
    </row>
    <row r="5" spans="1:13" s="2" customFormat="1" ht="15.5" customHeight="1" x14ac:dyDescent="0.3">
      <c r="A5" s="37" t="s">
        <v>21</v>
      </c>
      <c r="B5" s="37" t="s">
        <v>20</v>
      </c>
      <c r="C5" s="37"/>
      <c r="D5" s="37"/>
      <c r="E5" s="37"/>
      <c r="F5" s="37" t="s">
        <v>22</v>
      </c>
      <c r="G5" s="37"/>
      <c r="H5" s="37"/>
      <c r="I5" s="37"/>
      <c r="J5" s="37"/>
      <c r="K5" s="37"/>
      <c r="L5" s="37"/>
      <c r="M5" s="37"/>
    </row>
    <row r="6" spans="1:13" s="2" customFormat="1" ht="15.5" customHeight="1" x14ac:dyDescent="0.3">
      <c r="A6" s="37"/>
      <c r="B6" s="37" t="s">
        <v>23</v>
      </c>
      <c r="C6" s="37"/>
      <c r="D6" s="37"/>
      <c r="E6" s="37"/>
      <c r="F6" s="37" t="s">
        <v>24</v>
      </c>
      <c r="G6" s="37"/>
      <c r="H6" s="37"/>
      <c r="I6" s="37"/>
      <c r="J6" s="37"/>
      <c r="K6" s="37"/>
      <c r="L6" s="37"/>
      <c r="M6" s="37"/>
    </row>
    <row r="7" spans="1:13" s="2" customFormat="1" ht="15.5" customHeight="1" x14ac:dyDescent="0.3">
      <c r="A7" s="37"/>
      <c r="B7" s="37" t="s">
        <v>25</v>
      </c>
      <c r="C7" s="37"/>
      <c r="D7" s="37"/>
      <c r="E7" s="37"/>
      <c r="F7" s="37" t="s">
        <v>26</v>
      </c>
      <c r="G7" s="37"/>
      <c r="H7" s="37"/>
      <c r="I7" s="37"/>
      <c r="J7" s="37"/>
      <c r="K7" s="37"/>
      <c r="L7" s="37"/>
      <c r="M7" s="37"/>
    </row>
    <row r="8" spans="1:13" s="2" customFormat="1" ht="15.5" customHeight="1" x14ac:dyDescent="0.3">
      <c r="A8" s="37"/>
      <c r="B8" s="37" t="s">
        <v>27</v>
      </c>
      <c r="C8" s="37"/>
      <c r="D8" s="37"/>
      <c r="E8" s="37"/>
      <c r="F8" s="37" t="s">
        <v>28</v>
      </c>
      <c r="G8" s="37"/>
      <c r="H8" s="37"/>
      <c r="I8" s="37"/>
      <c r="J8" s="37"/>
      <c r="K8" s="37"/>
      <c r="L8" s="37"/>
      <c r="M8" s="37"/>
    </row>
    <row r="9" spans="1:13" s="2" customFormat="1" ht="15.5" customHeight="1" x14ac:dyDescent="0.3">
      <c r="A9" s="37"/>
      <c r="B9" s="37" t="s">
        <v>29</v>
      </c>
      <c r="C9" s="37"/>
      <c r="D9" s="37"/>
      <c r="E9" s="37"/>
      <c r="F9" s="37" t="s">
        <v>30</v>
      </c>
      <c r="G9" s="37"/>
      <c r="H9" s="37"/>
      <c r="I9" s="37"/>
      <c r="J9" s="37"/>
      <c r="K9" s="37"/>
      <c r="L9" s="37"/>
      <c r="M9" s="37"/>
    </row>
    <row r="10" spans="1:13" s="2" customFormat="1" ht="15.5" customHeight="1" x14ac:dyDescent="0.3">
      <c r="A10" s="37" t="s">
        <v>31</v>
      </c>
      <c r="B10" s="37" t="s">
        <v>32</v>
      </c>
      <c r="C10" s="37"/>
      <c r="D10" s="37"/>
      <c r="E10" s="37"/>
      <c r="F10" s="37" t="s">
        <v>33</v>
      </c>
      <c r="G10" s="37"/>
      <c r="H10" s="37"/>
      <c r="I10" s="37"/>
      <c r="J10" s="37"/>
      <c r="K10" s="37"/>
      <c r="L10" s="37"/>
      <c r="M10" s="37"/>
    </row>
    <row r="11" spans="1:13" s="2" customFormat="1" ht="15.5" customHeight="1" x14ac:dyDescent="0.3">
      <c r="A11" s="37"/>
      <c r="B11" s="37" t="s">
        <v>34</v>
      </c>
      <c r="C11" s="37"/>
      <c r="D11" s="37"/>
      <c r="E11" s="37"/>
      <c r="F11" s="37" t="s">
        <v>35</v>
      </c>
      <c r="G11" s="37"/>
      <c r="H11" s="37"/>
      <c r="I11" s="37"/>
      <c r="J11" s="37"/>
      <c r="K11" s="37"/>
      <c r="L11" s="37"/>
      <c r="M11" s="37"/>
    </row>
    <row r="12" spans="1:13" s="2" customFormat="1" ht="15.5" customHeight="1" x14ac:dyDescent="0.3">
      <c r="A12" s="37"/>
      <c r="B12" s="37" t="s">
        <v>36</v>
      </c>
      <c r="C12" s="37"/>
      <c r="D12" s="37"/>
      <c r="E12" s="37"/>
      <c r="F12" s="37" t="s">
        <v>37</v>
      </c>
      <c r="G12" s="37"/>
      <c r="H12" s="37"/>
      <c r="I12" s="37"/>
      <c r="J12" s="37"/>
      <c r="K12" s="37"/>
      <c r="L12" s="37"/>
      <c r="M12" s="37"/>
    </row>
    <row r="13" spans="1:13" s="2" customFormat="1" ht="15.5" customHeight="1" x14ac:dyDescent="0.3">
      <c r="A13" s="37"/>
      <c r="B13" s="37" t="s">
        <v>38</v>
      </c>
      <c r="C13" s="37"/>
      <c r="D13" s="37"/>
      <c r="E13" s="37"/>
      <c r="F13" s="37" t="s">
        <v>39</v>
      </c>
      <c r="G13" s="37"/>
      <c r="H13" s="37"/>
      <c r="I13" s="37"/>
      <c r="J13" s="37"/>
      <c r="K13" s="37"/>
      <c r="L13" s="37"/>
      <c r="M13" s="37"/>
    </row>
    <row r="14" spans="1:13" s="2" customFormat="1" ht="15.5" customHeight="1" x14ac:dyDescent="0.3">
      <c r="A14" s="37"/>
      <c r="B14" s="37" t="s">
        <v>40</v>
      </c>
      <c r="C14" s="37"/>
      <c r="D14" s="37"/>
      <c r="E14" s="37"/>
      <c r="F14" s="37" t="s">
        <v>41</v>
      </c>
      <c r="G14" s="37"/>
      <c r="H14" s="37"/>
      <c r="I14" s="37"/>
      <c r="J14" s="37"/>
      <c r="K14" s="37"/>
      <c r="L14" s="37"/>
      <c r="M14" s="37"/>
    </row>
    <row r="15" spans="1:13" s="2" customFormat="1" ht="15.5" customHeight="1" x14ac:dyDescent="0.3">
      <c r="A15" s="37"/>
      <c r="B15" s="37" t="s">
        <v>42</v>
      </c>
      <c r="C15" s="37"/>
      <c r="D15" s="37"/>
      <c r="E15" s="37"/>
      <c r="F15" s="37"/>
      <c r="G15" s="37"/>
      <c r="H15" s="37"/>
      <c r="I15" s="37"/>
      <c r="J15" s="37"/>
      <c r="K15" s="37"/>
      <c r="L15" s="37"/>
      <c r="M15" s="37"/>
    </row>
    <row r="16" spans="1:13" s="2" customFormat="1" ht="15.5" customHeight="1" x14ac:dyDescent="0.3">
      <c r="A16" s="37"/>
      <c r="B16" s="37" t="s">
        <v>43</v>
      </c>
      <c r="C16" s="37"/>
      <c r="D16" s="37"/>
      <c r="E16" s="37"/>
      <c r="F16" s="37" t="s">
        <v>44</v>
      </c>
      <c r="G16" s="37"/>
      <c r="H16" s="37"/>
      <c r="I16" s="37"/>
      <c r="J16" s="37"/>
      <c r="K16" s="37"/>
      <c r="L16" s="37"/>
      <c r="M16" s="37"/>
    </row>
    <row r="17" spans="1:13" ht="18" customHeight="1" x14ac:dyDescent="0.3">
      <c r="A17" s="11" t="s">
        <v>0</v>
      </c>
      <c r="B17" s="11" t="s">
        <v>81</v>
      </c>
      <c r="C17" s="11" t="s">
        <v>82</v>
      </c>
      <c r="D17" s="11" t="s">
        <v>83</v>
      </c>
      <c r="E17" s="11" t="s">
        <v>84</v>
      </c>
      <c r="F17" s="11" t="s">
        <v>90</v>
      </c>
      <c r="G17" s="11" t="s">
        <v>85</v>
      </c>
      <c r="H17" s="11" t="s">
        <v>86</v>
      </c>
      <c r="I17" s="11" t="s">
        <v>87</v>
      </c>
      <c r="J17" s="11" t="s">
        <v>88</v>
      </c>
      <c r="K17" s="11" t="s">
        <v>91</v>
      </c>
      <c r="L17" s="11" t="s">
        <v>92</v>
      </c>
      <c r="M17" s="11" t="s">
        <v>93</v>
      </c>
    </row>
    <row r="18" spans="1:13" ht="17" customHeight="1" x14ac:dyDescent="0.3">
      <c r="A18" s="12" t="s">
        <v>77</v>
      </c>
      <c r="B18" s="13">
        <v>20</v>
      </c>
      <c r="C18" s="13">
        <v>22</v>
      </c>
      <c r="D18" s="13">
        <v>27</v>
      </c>
      <c r="E18" s="13">
        <v>40</v>
      </c>
      <c r="F18" s="14">
        <v>47</v>
      </c>
      <c r="G18" s="14">
        <v>58</v>
      </c>
      <c r="H18" s="15">
        <v>68</v>
      </c>
      <c r="I18" s="14">
        <v>76</v>
      </c>
      <c r="J18" s="14">
        <v>96</v>
      </c>
      <c r="K18" s="14">
        <v>115</v>
      </c>
      <c r="L18" s="14">
        <v>150</v>
      </c>
      <c r="M18" s="14">
        <v>190</v>
      </c>
    </row>
    <row r="19" spans="1:13" ht="17" customHeight="1" x14ac:dyDescent="0.3">
      <c r="A19" s="12" t="s">
        <v>78</v>
      </c>
      <c r="B19" s="16">
        <f>B18*3412</f>
        <v>68240</v>
      </c>
      <c r="C19" s="16">
        <f t="shared" ref="C19:J19" si="0">C18*3412</f>
        <v>75064</v>
      </c>
      <c r="D19" s="16">
        <f t="shared" si="0"/>
        <v>92124</v>
      </c>
      <c r="E19" s="16">
        <f t="shared" si="0"/>
        <v>136480</v>
      </c>
      <c r="F19" s="16">
        <f t="shared" si="0"/>
        <v>160364</v>
      </c>
      <c r="G19" s="16">
        <f t="shared" si="0"/>
        <v>197896</v>
      </c>
      <c r="H19" s="17">
        <f t="shared" si="0"/>
        <v>232016</v>
      </c>
      <c r="I19" s="16">
        <f t="shared" si="0"/>
        <v>259312</v>
      </c>
      <c r="J19" s="16">
        <f t="shared" si="0"/>
        <v>327552</v>
      </c>
      <c r="K19" s="16">
        <v>394086</v>
      </c>
      <c r="L19" s="16">
        <v>511800</v>
      </c>
      <c r="M19" s="16">
        <v>648280</v>
      </c>
    </row>
    <row r="20" spans="1:13" ht="17" customHeight="1" x14ac:dyDescent="0.3">
      <c r="A20" s="10" t="s">
        <v>95</v>
      </c>
      <c r="B20" s="16">
        <v>488.45542857142863</v>
      </c>
      <c r="C20" s="16">
        <v>540.57142857142856</v>
      </c>
      <c r="D20" s="16">
        <v>647.89942857142864</v>
      </c>
      <c r="E20" s="16">
        <v>999.68857142857144</v>
      </c>
      <c r="F20" s="16">
        <v>1171.7868571428571</v>
      </c>
      <c r="G20" s="16">
        <v>1462.8354285714288</v>
      </c>
      <c r="H20" s="16">
        <v>1671</v>
      </c>
      <c r="I20" s="16">
        <v>1913.3279999999997</v>
      </c>
      <c r="J20" s="16">
        <v>2416.9685714285715</v>
      </c>
      <c r="K20" s="16">
        <v>2923.14</v>
      </c>
      <c r="L20" s="16">
        <v>3796.2857142857147</v>
      </c>
      <c r="M20" s="16">
        <v>4808.6285714285714</v>
      </c>
    </row>
    <row r="21" spans="1:13" ht="17" customHeight="1" x14ac:dyDescent="0.3">
      <c r="A21" s="10" t="s">
        <v>96</v>
      </c>
      <c r="B21" s="16">
        <v>427.45</v>
      </c>
      <c r="C21" s="16">
        <v>617.49474285714291</v>
      </c>
      <c r="D21" s="16">
        <v>566.5</v>
      </c>
      <c r="E21" s="16">
        <v>875.5</v>
      </c>
      <c r="F21" s="16">
        <v>1019.7</v>
      </c>
      <c r="G21" s="16">
        <v>1277.2</v>
      </c>
      <c r="H21" s="16">
        <v>0</v>
      </c>
      <c r="I21" s="16">
        <v>1668.6000000000001</v>
      </c>
      <c r="J21" s="16">
        <v>2111.5</v>
      </c>
      <c r="K21" s="16">
        <v>2554.4</v>
      </c>
      <c r="L21" s="16">
        <v>3321.75</v>
      </c>
      <c r="M21" s="16">
        <v>4207.55</v>
      </c>
    </row>
    <row r="22" spans="1:13" ht="17" customHeight="1" x14ac:dyDescent="0.3">
      <c r="A22" s="12" t="s">
        <v>46</v>
      </c>
      <c r="B22" s="16">
        <v>55</v>
      </c>
      <c r="C22" s="16">
        <v>55</v>
      </c>
      <c r="D22" s="16">
        <v>55</v>
      </c>
      <c r="E22" s="16">
        <v>55</v>
      </c>
      <c r="F22" s="16">
        <v>55</v>
      </c>
      <c r="G22" s="16">
        <v>55</v>
      </c>
      <c r="H22" s="17">
        <v>55</v>
      </c>
      <c r="I22" s="16">
        <v>55</v>
      </c>
      <c r="J22" s="16">
        <v>55</v>
      </c>
      <c r="K22" s="16">
        <v>55</v>
      </c>
      <c r="L22" s="16">
        <v>55</v>
      </c>
      <c r="M22" s="16">
        <v>55</v>
      </c>
    </row>
    <row r="23" spans="1:13" ht="17" customHeight="1" x14ac:dyDescent="0.3">
      <c r="A23" s="12" t="s">
        <v>47</v>
      </c>
      <c r="B23" s="16">
        <v>60</v>
      </c>
      <c r="C23" s="16">
        <v>60</v>
      </c>
      <c r="D23" s="16">
        <v>60</v>
      </c>
      <c r="E23" s="16">
        <v>60</v>
      </c>
      <c r="F23" s="16">
        <v>60</v>
      </c>
      <c r="G23" s="16">
        <v>60</v>
      </c>
      <c r="H23" s="17">
        <v>60</v>
      </c>
      <c r="I23" s="16">
        <v>60</v>
      </c>
      <c r="J23" s="16">
        <v>60</v>
      </c>
      <c r="K23" s="16">
        <v>60</v>
      </c>
      <c r="L23" s="16">
        <v>60</v>
      </c>
      <c r="M23" s="16">
        <v>60</v>
      </c>
    </row>
    <row r="24" spans="1:13" ht="17" customHeight="1" x14ac:dyDescent="0.3">
      <c r="A24" s="12" t="s">
        <v>1</v>
      </c>
      <c r="B24" s="30" t="s">
        <v>70</v>
      </c>
      <c r="C24" s="30"/>
      <c r="D24" s="30"/>
      <c r="E24" s="30"/>
      <c r="F24" s="30"/>
      <c r="G24" s="30"/>
      <c r="H24" s="30"/>
      <c r="I24" s="30"/>
      <c r="J24" s="30"/>
      <c r="K24" s="30"/>
      <c r="L24" s="30"/>
      <c r="M24" s="30"/>
    </row>
    <row r="25" spans="1:13" ht="17" customHeight="1" x14ac:dyDescent="0.3">
      <c r="A25" s="12" t="s">
        <v>48</v>
      </c>
      <c r="B25" s="18">
        <v>4.5</v>
      </c>
      <c r="C25" s="19">
        <v>5</v>
      </c>
      <c r="D25" s="18">
        <v>6</v>
      </c>
      <c r="E25" s="18">
        <v>9.1999999999999993</v>
      </c>
      <c r="F25" s="18">
        <v>10.8</v>
      </c>
      <c r="G25" s="18">
        <v>13.5</v>
      </c>
      <c r="H25" s="15">
        <v>15.2</v>
      </c>
      <c r="I25" s="18">
        <v>17.7</v>
      </c>
      <c r="J25" s="18">
        <v>22.4</v>
      </c>
      <c r="K25" s="18">
        <v>26</v>
      </c>
      <c r="L25" s="18">
        <v>34</v>
      </c>
      <c r="M25" s="18">
        <v>43</v>
      </c>
    </row>
    <row r="26" spans="1:13" ht="17" customHeight="1" x14ac:dyDescent="0.3">
      <c r="A26" s="12" t="s">
        <v>49</v>
      </c>
      <c r="B26" s="16">
        <v>9</v>
      </c>
      <c r="C26" s="19">
        <v>10</v>
      </c>
      <c r="D26" s="16">
        <v>12</v>
      </c>
      <c r="E26" s="16">
        <v>18</v>
      </c>
      <c r="F26" s="16">
        <v>21</v>
      </c>
      <c r="G26" s="20">
        <v>26.3</v>
      </c>
      <c r="H26" s="15">
        <v>31</v>
      </c>
      <c r="I26" s="20">
        <v>34.5</v>
      </c>
      <c r="J26" s="20">
        <v>43.6</v>
      </c>
      <c r="K26" s="16">
        <v>52</v>
      </c>
      <c r="L26" s="16">
        <v>68</v>
      </c>
      <c r="M26" s="16">
        <v>86</v>
      </c>
    </row>
    <row r="27" spans="1:13" ht="17" customHeight="1" x14ac:dyDescent="0.3">
      <c r="A27" s="12" t="s">
        <v>50</v>
      </c>
      <c r="B27" s="12" t="s">
        <v>2</v>
      </c>
      <c r="C27" s="12" t="s">
        <v>2</v>
      </c>
      <c r="D27" s="12" t="s">
        <v>2</v>
      </c>
      <c r="E27" s="12" t="s">
        <v>3</v>
      </c>
      <c r="F27" s="12" t="s">
        <v>3</v>
      </c>
      <c r="G27" s="12" t="s">
        <v>3</v>
      </c>
      <c r="H27" s="12" t="s">
        <v>3</v>
      </c>
      <c r="I27" s="12" t="s">
        <v>3</v>
      </c>
      <c r="J27" s="12" t="s">
        <v>3</v>
      </c>
      <c r="K27" s="21" t="s">
        <v>4</v>
      </c>
      <c r="L27" s="21" t="s">
        <v>4</v>
      </c>
      <c r="M27" s="21" t="s">
        <v>4</v>
      </c>
    </row>
    <row r="28" spans="1:13" ht="17" customHeight="1" x14ac:dyDescent="0.3">
      <c r="A28" s="12" t="s">
        <v>51</v>
      </c>
      <c r="B28" s="30" t="s">
        <v>98</v>
      </c>
      <c r="C28" s="30"/>
      <c r="D28" s="30"/>
      <c r="E28" s="30"/>
      <c r="F28" s="30"/>
      <c r="G28" s="30"/>
      <c r="H28" s="30"/>
      <c r="I28" s="30"/>
      <c r="J28" s="30"/>
      <c r="K28" s="30"/>
      <c r="L28" s="30"/>
      <c r="M28" s="30"/>
    </row>
    <row r="29" spans="1:13" ht="17" customHeight="1" x14ac:dyDescent="0.3">
      <c r="A29" s="12" t="s">
        <v>52</v>
      </c>
      <c r="B29" s="30" t="s">
        <v>71</v>
      </c>
      <c r="C29" s="30"/>
      <c r="D29" s="30"/>
      <c r="E29" s="30"/>
      <c r="F29" s="30"/>
      <c r="G29" s="30"/>
      <c r="H29" s="30"/>
      <c r="I29" s="30"/>
      <c r="J29" s="30"/>
      <c r="K29" s="30"/>
      <c r="L29" s="30"/>
      <c r="M29" s="30"/>
    </row>
    <row r="30" spans="1:13" ht="17" customHeight="1" x14ac:dyDescent="0.3">
      <c r="A30" s="12" t="s">
        <v>53</v>
      </c>
      <c r="B30" s="30" t="s">
        <v>89</v>
      </c>
      <c r="C30" s="30"/>
      <c r="D30" s="30"/>
      <c r="E30" s="30"/>
      <c r="F30" s="30"/>
      <c r="G30" s="30"/>
      <c r="H30" s="30"/>
      <c r="I30" s="30"/>
      <c r="J30" s="30"/>
      <c r="K30" s="30"/>
      <c r="L30" s="30"/>
      <c r="M30" s="30"/>
    </row>
    <row r="31" spans="1:13" ht="17" customHeight="1" x14ac:dyDescent="0.3">
      <c r="A31" s="12" t="s">
        <v>54</v>
      </c>
      <c r="B31" s="30" t="s">
        <v>5</v>
      </c>
      <c r="C31" s="30"/>
      <c r="D31" s="30"/>
      <c r="E31" s="30"/>
      <c r="F31" s="30"/>
      <c r="G31" s="30"/>
      <c r="H31" s="30"/>
      <c r="I31" s="30"/>
      <c r="J31" s="30"/>
      <c r="K31" s="30"/>
      <c r="L31" s="30"/>
      <c r="M31" s="30"/>
    </row>
    <row r="32" spans="1:13" ht="17" customHeight="1" x14ac:dyDescent="0.3">
      <c r="A32" s="12" t="s">
        <v>55</v>
      </c>
      <c r="B32" s="16">
        <v>1</v>
      </c>
      <c r="C32" s="16">
        <v>1</v>
      </c>
      <c r="D32" s="16">
        <v>1</v>
      </c>
      <c r="E32" s="12">
        <v>2</v>
      </c>
      <c r="F32" s="16">
        <v>2</v>
      </c>
      <c r="G32" s="16">
        <v>2</v>
      </c>
      <c r="H32" s="15">
        <v>2</v>
      </c>
      <c r="I32" s="16">
        <v>2</v>
      </c>
      <c r="J32" s="16">
        <v>2</v>
      </c>
      <c r="K32" s="16">
        <v>3</v>
      </c>
      <c r="L32" s="16">
        <v>4</v>
      </c>
      <c r="M32" s="16">
        <v>4</v>
      </c>
    </row>
    <row r="33" spans="1:13" ht="17" customHeight="1" x14ac:dyDescent="0.3">
      <c r="A33" s="12" t="s">
        <v>56</v>
      </c>
      <c r="B33" s="16">
        <v>250</v>
      </c>
      <c r="C33" s="16">
        <v>250</v>
      </c>
      <c r="D33" s="16">
        <v>250</v>
      </c>
      <c r="E33" s="16">
        <v>250</v>
      </c>
      <c r="F33" s="16">
        <v>550</v>
      </c>
      <c r="G33" s="16">
        <v>550</v>
      </c>
      <c r="H33" s="17">
        <v>550</v>
      </c>
      <c r="I33" s="16">
        <v>750</v>
      </c>
      <c r="J33" s="16">
        <v>750</v>
      </c>
      <c r="K33" s="16">
        <v>550</v>
      </c>
      <c r="L33" s="16">
        <v>750</v>
      </c>
      <c r="M33" s="16">
        <v>750</v>
      </c>
    </row>
    <row r="34" spans="1:13" ht="17" customHeight="1" x14ac:dyDescent="0.3">
      <c r="A34" s="12" t="s">
        <v>57</v>
      </c>
      <c r="B34" s="16">
        <v>880</v>
      </c>
      <c r="C34" s="16">
        <v>880</v>
      </c>
      <c r="D34" s="16">
        <v>880</v>
      </c>
      <c r="E34" s="16">
        <v>880</v>
      </c>
      <c r="F34" s="16">
        <v>880</v>
      </c>
      <c r="G34" s="16">
        <v>910</v>
      </c>
      <c r="H34" s="17">
        <v>910</v>
      </c>
      <c r="I34" s="16">
        <v>940</v>
      </c>
      <c r="J34" s="16">
        <v>940</v>
      </c>
      <c r="K34" s="16">
        <v>910</v>
      </c>
      <c r="L34" s="16">
        <v>940</v>
      </c>
      <c r="M34" s="16">
        <v>940</v>
      </c>
    </row>
    <row r="35" spans="1:13" ht="17" customHeight="1" x14ac:dyDescent="0.3">
      <c r="A35" s="12" t="s">
        <v>58</v>
      </c>
      <c r="B35" s="30" t="s">
        <v>72</v>
      </c>
      <c r="C35" s="30"/>
      <c r="D35" s="30"/>
      <c r="E35" s="30"/>
      <c r="F35" s="30"/>
      <c r="G35" s="30"/>
      <c r="H35" s="30"/>
      <c r="I35" s="30"/>
      <c r="J35" s="30"/>
      <c r="K35" s="30"/>
      <c r="L35" s="30"/>
      <c r="M35" s="30"/>
    </row>
    <row r="36" spans="1:13" ht="17" customHeight="1" x14ac:dyDescent="0.3">
      <c r="A36" s="12" t="s">
        <v>59</v>
      </c>
      <c r="B36" s="30" t="s">
        <v>73</v>
      </c>
      <c r="C36" s="30"/>
      <c r="D36" s="30"/>
      <c r="E36" s="30"/>
      <c r="F36" s="30"/>
      <c r="G36" s="30"/>
      <c r="H36" s="30"/>
      <c r="I36" s="30"/>
      <c r="J36" s="30"/>
      <c r="K36" s="30"/>
      <c r="L36" s="30"/>
      <c r="M36" s="30"/>
    </row>
    <row r="37" spans="1:13" ht="17" customHeight="1" x14ac:dyDescent="0.3">
      <c r="A37" s="12" t="s">
        <v>60</v>
      </c>
      <c r="B37" s="30" t="s">
        <v>99</v>
      </c>
      <c r="C37" s="30"/>
      <c r="D37" s="30"/>
      <c r="E37" s="30"/>
      <c r="F37" s="30"/>
      <c r="G37" s="30"/>
      <c r="H37" s="30"/>
      <c r="I37" s="30"/>
      <c r="J37" s="30"/>
      <c r="K37" s="30"/>
      <c r="L37" s="30"/>
      <c r="M37" s="30"/>
    </row>
    <row r="38" spans="1:13" ht="17" customHeight="1" x14ac:dyDescent="0.3">
      <c r="A38" s="12" t="s">
        <v>61</v>
      </c>
      <c r="B38" s="12">
        <v>1</v>
      </c>
      <c r="C38" s="12">
        <v>1</v>
      </c>
      <c r="D38" s="12">
        <v>1</v>
      </c>
      <c r="E38" s="12">
        <v>2</v>
      </c>
      <c r="F38" s="12">
        <v>2</v>
      </c>
      <c r="G38" s="12">
        <v>2</v>
      </c>
      <c r="H38" s="12">
        <v>2</v>
      </c>
      <c r="I38" s="12">
        <v>2</v>
      </c>
      <c r="J38" s="12">
        <v>2</v>
      </c>
      <c r="K38" s="21">
        <v>4</v>
      </c>
      <c r="L38" s="21">
        <v>4</v>
      </c>
      <c r="M38" s="21">
        <v>4</v>
      </c>
    </row>
    <row r="39" spans="1:13" ht="17" customHeight="1" x14ac:dyDescent="0.3">
      <c r="A39" s="12" t="s">
        <v>62</v>
      </c>
      <c r="B39" s="30" t="s">
        <v>74</v>
      </c>
      <c r="C39" s="30"/>
      <c r="D39" s="30"/>
      <c r="E39" s="30"/>
      <c r="F39" s="30"/>
      <c r="G39" s="30"/>
      <c r="H39" s="30"/>
      <c r="I39" s="30"/>
      <c r="J39" s="30"/>
      <c r="K39" s="30"/>
      <c r="L39" s="30"/>
      <c r="M39" s="30"/>
    </row>
    <row r="40" spans="1:13" ht="17" customHeight="1" x14ac:dyDescent="0.3">
      <c r="A40" s="12" t="s">
        <v>63</v>
      </c>
      <c r="B40" s="30" t="s">
        <v>75</v>
      </c>
      <c r="C40" s="30"/>
      <c r="D40" s="30"/>
      <c r="E40" s="30"/>
      <c r="F40" s="30"/>
      <c r="G40" s="30"/>
      <c r="H40" s="30"/>
      <c r="I40" s="30"/>
      <c r="J40" s="30"/>
      <c r="K40" s="30"/>
      <c r="L40" s="30"/>
      <c r="M40" s="30"/>
    </row>
    <row r="41" spans="1:13" ht="17" customHeight="1" x14ac:dyDescent="0.3">
      <c r="A41" s="12" t="s">
        <v>64</v>
      </c>
      <c r="B41" s="30" t="s">
        <v>79</v>
      </c>
      <c r="C41" s="30"/>
      <c r="D41" s="30"/>
      <c r="E41" s="30"/>
      <c r="F41" s="30"/>
      <c r="G41" s="30"/>
      <c r="H41" s="30"/>
      <c r="I41" s="30"/>
      <c r="J41" s="30"/>
      <c r="K41" s="30"/>
      <c r="L41" s="30"/>
      <c r="M41" s="30"/>
    </row>
    <row r="42" spans="1:13" ht="34" customHeight="1" x14ac:dyDescent="0.3">
      <c r="A42" s="12" t="s">
        <v>103</v>
      </c>
      <c r="B42" s="38" t="s">
        <v>104</v>
      </c>
      <c r="C42" s="38"/>
      <c r="D42" s="38"/>
      <c r="E42" s="38"/>
      <c r="F42" s="38"/>
      <c r="G42" s="38"/>
      <c r="H42" s="38"/>
      <c r="I42" s="38"/>
      <c r="J42" s="38"/>
      <c r="K42" s="38"/>
      <c r="L42" s="38"/>
      <c r="M42" s="38"/>
    </row>
    <row r="43" spans="1:13" ht="17" customHeight="1" x14ac:dyDescent="0.3">
      <c r="A43" s="12" t="s">
        <v>65</v>
      </c>
      <c r="B43" s="12" t="s">
        <v>6</v>
      </c>
      <c r="C43" s="12" t="s">
        <v>6</v>
      </c>
      <c r="D43" s="12" t="s">
        <v>6</v>
      </c>
      <c r="E43" s="12" t="s">
        <v>13</v>
      </c>
      <c r="F43" s="12" t="s">
        <v>13</v>
      </c>
      <c r="G43" s="12" t="s">
        <v>13</v>
      </c>
      <c r="H43" s="12" t="s">
        <v>13</v>
      </c>
      <c r="I43" s="12" t="s">
        <v>7</v>
      </c>
      <c r="J43" s="12" t="s">
        <v>7</v>
      </c>
      <c r="K43" s="12" t="s">
        <v>7</v>
      </c>
      <c r="L43" s="12" t="s">
        <v>8</v>
      </c>
      <c r="M43" s="12" t="s">
        <v>8</v>
      </c>
    </row>
    <row r="44" spans="1:13" ht="17" customHeight="1" x14ac:dyDescent="0.3">
      <c r="A44" s="12" t="s">
        <v>66</v>
      </c>
      <c r="B44" s="20">
        <v>4</v>
      </c>
      <c r="C44" s="20">
        <v>4</v>
      </c>
      <c r="D44" s="20">
        <v>5</v>
      </c>
      <c r="E44" s="20">
        <v>8</v>
      </c>
      <c r="F44" s="20">
        <v>9.5</v>
      </c>
      <c r="G44" s="20">
        <v>12</v>
      </c>
      <c r="H44" s="22">
        <v>13.2</v>
      </c>
      <c r="I44" s="20">
        <v>15.5</v>
      </c>
      <c r="J44" s="20">
        <v>19.5</v>
      </c>
      <c r="K44" s="20">
        <v>24</v>
      </c>
      <c r="L44" s="20">
        <v>30</v>
      </c>
      <c r="M44" s="20">
        <v>39</v>
      </c>
    </row>
    <row r="45" spans="1:13" ht="17" customHeight="1" x14ac:dyDescent="0.3">
      <c r="A45" s="12" t="s">
        <v>9</v>
      </c>
      <c r="B45" s="30" t="s">
        <v>76</v>
      </c>
      <c r="C45" s="30"/>
      <c r="D45" s="30"/>
      <c r="E45" s="30"/>
      <c r="F45" s="30"/>
      <c r="G45" s="30"/>
      <c r="H45" s="30"/>
      <c r="I45" s="30"/>
      <c r="J45" s="30"/>
      <c r="K45" s="30"/>
      <c r="L45" s="30"/>
      <c r="M45" s="30"/>
    </row>
    <row r="46" spans="1:13" ht="17" customHeight="1" x14ac:dyDescent="0.3">
      <c r="A46" s="12" t="s">
        <v>67</v>
      </c>
      <c r="B46" s="12" t="s">
        <v>14</v>
      </c>
      <c r="C46" s="12" t="s">
        <v>14</v>
      </c>
      <c r="D46" s="12" t="s">
        <v>15</v>
      </c>
      <c r="E46" s="12" t="s">
        <v>16</v>
      </c>
      <c r="F46" s="12" t="s">
        <v>10</v>
      </c>
      <c r="G46" s="12" t="s">
        <v>10</v>
      </c>
      <c r="H46" s="12" t="s">
        <v>17</v>
      </c>
      <c r="I46" s="12" t="s">
        <v>17</v>
      </c>
      <c r="J46" s="12" t="s">
        <v>18</v>
      </c>
      <c r="K46" s="12" t="s">
        <v>19</v>
      </c>
      <c r="L46" s="12" t="s">
        <v>94</v>
      </c>
      <c r="M46" s="12" t="s">
        <v>11</v>
      </c>
    </row>
    <row r="47" spans="1:13" ht="17" customHeight="1" x14ac:dyDescent="0.3">
      <c r="A47" s="12" t="s">
        <v>12</v>
      </c>
      <c r="B47" s="16">
        <v>175</v>
      </c>
      <c r="C47" s="16">
        <v>175</v>
      </c>
      <c r="D47" s="16">
        <v>210</v>
      </c>
      <c r="E47" s="16">
        <v>350</v>
      </c>
      <c r="F47" s="16">
        <v>400</v>
      </c>
      <c r="G47" s="16">
        <v>460</v>
      </c>
      <c r="H47" s="17">
        <f>(G47+I47)/2</f>
        <v>595</v>
      </c>
      <c r="I47" s="16">
        <v>730</v>
      </c>
      <c r="J47" s="16">
        <v>870</v>
      </c>
      <c r="K47" s="16">
        <v>1050</v>
      </c>
      <c r="L47" s="16">
        <v>1350</v>
      </c>
      <c r="M47" s="16">
        <v>1500</v>
      </c>
    </row>
    <row r="48" spans="1:13" s="4" customFormat="1" x14ac:dyDescent="0.2">
      <c r="A48" s="23" t="s">
        <v>97</v>
      </c>
      <c r="B48" s="24"/>
      <c r="C48" s="24"/>
      <c r="D48" s="24"/>
      <c r="E48" s="24"/>
      <c r="F48" s="24"/>
      <c r="G48" s="24"/>
      <c r="H48" s="25"/>
      <c r="I48" s="25"/>
      <c r="J48" s="25"/>
      <c r="K48" s="26"/>
      <c r="L48" s="27" t="s">
        <v>105</v>
      </c>
      <c r="M48" s="28"/>
    </row>
    <row r="49" spans="1:14" s="4" customFormat="1" ht="11.5" x14ac:dyDescent="0.2">
      <c r="A49" s="23" t="s">
        <v>102</v>
      </c>
      <c r="B49" s="24"/>
      <c r="C49" s="24"/>
      <c r="D49" s="24"/>
      <c r="E49" s="24"/>
      <c r="F49" s="24"/>
      <c r="G49" s="24"/>
      <c r="H49" s="25"/>
      <c r="I49" s="25"/>
      <c r="J49" s="25"/>
      <c r="K49" s="29"/>
      <c r="L49" s="27" t="s">
        <v>106</v>
      </c>
      <c r="M49" s="28"/>
    </row>
    <row r="50" spans="1:14" s="4" customFormat="1" ht="11.5" x14ac:dyDescent="0.3">
      <c r="A50" s="31" t="s">
        <v>100</v>
      </c>
      <c r="B50" s="31"/>
      <c r="C50" s="31"/>
      <c r="D50" s="31"/>
      <c r="E50" s="31"/>
      <c r="F50" s="31"/>
      <c r="G50" s="31"/>
      <c r="H50" s="31"/>
      <c r="I50" s="25"/>
      <c r="J50" s="25"/>
      <c r="K50" s="17"/>
      <c r="L50" s="27" t="s">
        <v>107</v>
      </c>
      <c r="M50" s="28"/>
    </row>
    <row r="51" spans="1:14" s="1" customFormat="1" ht="14.5" customHeight="1" x14ac:dyDescent="0.35">
      <c r="A51" s="5"/>
      <c r="B51" s="32" t="s">
        <v>101</v>
      </c>
      <c r="C51" s="32"/>
      <c r="D51" s="32"/>
      <c r="E51" s="32"/>
      <c r="F51" s="34" t="s">
        <v>68</v>
      </c>
      <c r="G51" s="34"/>
      <c r="H51" s="34"/>
      <c r="I51" s="34"/>
      <c r="J51" s="34"/>
      <c r="K51" s="34"/>
      <c r="L51" s="34"/>
      <c r="M51" s="34"/>
    </row>
    <row r="52" spans="1:14" s="1" customFormat="1" ht="36" customHeight="1" x14ac:dyDescent="0.35">
      <c r="A52" s="6" t="s">
        <v>80</v>
      </c>
      <c r="B52" s="33"/>
      <c r="C52" s="33"/>
      <c r="D52" s="33"/>
      <c r="E52" s="33"/>
      <c r="F52" s="34"/>
      <c r="G52" s="34"/>
      <c r="H52" s="34"/>
      <c r="I52" s="34"/>
      <c r="J52" s="34"/>
      <c r="K52" s="34"/>
      <c r="L52" s="34"/>
      <c r="M52" s="34"/>
    </row>
    <row r="53" spans="1:14" x14ac:dyDescent="0.3">
      <c r="J53" s="8"/>
      <c r="K53" s="8"/>
      <c r="L53" s="8"/>
      <c r="M53" s="8"/>
      <c r="N53" s="9"/>
    </row>
  </sheetData>
  <mergeCells count="47">
    <mergeCell ref="F3:M3"/>
    <mergeCell ref="B24:M24"/>
    <mergeCell ref="F7:M7"/>
    <mergeCell ref="F8:M8"/>
    <mergeCell ref="F9:M9"/>
    <mergeCell ref="F10:M10"/>
    <mergeCell ref="F11:M11"/>
    <mergeCell ref="B8:E8"/>
    <mergeCell ref="B9:E9"/>
    <mergeCell ref="B10:E10"/>
    <mergeCell ref="B11:E11"/>
    <mergeCell ref="B12:E12"/>
    <mergeCell ref="B13:E13"/>
    <mergeCell ref="B14:E14"/>
    <mergeCell ref="A4:M4"/>
    <mergeCell ref="A1:M1"/>
    <mergeCell ref="F5:M5"/>
    <mergeCell ref="F6:M6"/>
    <mergeCell ref="B15:E15"/>
    <mergeCell ref="F12:M12"/>
    <mergeCell ref="F13:M13"/>
    <mergeCell ref="F14:M14"/>
    <mergeCell ref="F15:M15"/>
    <mergeCell ref="A3:E3"/>
    <mergeCell ref="B5:E5"/>
    <mergeCell ref="B6:E6"/>
    <mergeCell ref="B7:E7"/>
    <mergeCell ref="A10:A16"/>
    <mergeCell ref="A5:A9"/>
    <mergeCell ref="B16:E16"/>
    <mergeCell ref="F16:M16"/>
    <mergeCell ref="B36:M36"/>
    <mergeCell ref="A50:H50"/>
    <mergeCell ref="B51:E52"/>
    <mergeCell ref="F51:M52"/>
    <mergeCell ref="A2:M2"/>
    <mergeCell ref="B28:M28"/>
    <mergeCell ref="B29:M29"/>
    <mergeCell ref="B30:M30"/>
    <mergeCell ref="B31:M31"/>
    <mergeCell ref="B35:M35"/>
    <mergeCell ref="B45:M45"/>
    <mergeCell ref="B39:M39"/>
    <mergeCell ref="B40:M40"/>
    <mergeCell ref="B41:M41"/>
    <mergeCell ref="B42:M42"/>
    <mergeCell ref="B37:M37"/>
  </mergeCells>
  <pageMargins left="0.3" right="0.22" top="0.3" bottom="0.3" header="0.3" footer="0.3"/>
  <pageSetup paperSize="9" scale="86"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D97DE-A88B-4B29-8479-37FADE692F43}">
  <dimension ref="M5:Y75"/>
  <sheetViews>
    <sheetView tabSelected="1" topLeftCell="D1" zoomScale="70" workbookViewId="0">
      <selection activeCell="R7" sqref="R7"/>
    </sheetView>
  </sheetViews>
  <sheetFormatPr defaultRowHeight="13" x14ac:dyDescent="0.3"/>
  <cols>
    <col min="13" max="13" width="22.3984375" bestFit="1" customWidth="1"/>
  </cols>
  <sheetData>
    <row r="5" spans="13:25" x14ac:dyDescent="0.3">
      <c r="M5" t="s">
        <v>109</v>
      </c>
      <c r="N5">
        <v>-5</v>
      </c>
      <c r="O5">
        <v>0</v>
      </c>
      <c r="P5">
        <v>5</v>
      </c>
      <c r="Q5">
        <v>10</v>
      </c>
      <c r="R5">
        <v>15</v>
      </c>
      <c r="S5">
        <v>20</v>
      </c>
      <c r="T5">
        <v>25</v>
      </c>
      <c r="U5">
        <v>30</v>
      </c>
      <c r="V5">
        <v>35</v>
      </c>
      <c r="W5">
        <v>40</v>
      </c>
      <c r="X5">
        <v>45</v>
      </c>
      <c r="Y5">
        <v>50</v>
      </c>
    </row>
    <row r="6" spans="13:25" x14ac:dyDescent="0.3">
      <c r="M6" t="s">
        <v>110</v>
      </c>
      <c r="N6">
        <v>2.5099999999999998</v>
      </c>
      <c r="O6">
        <v>2.92</v>
      </c>
      <c r="P6">
        <v>3.38</v>
      </c>
      <c r="Q6">
        <v>3.9</v>
      </c>
      <c r="R6">
        <v>4.29</v>
      </c>
      <c r="S6">
        <v>4.9000000000000004</v>
      </c>
      <c r="T6">
        <v>5.01</v>
      </c>
      <c r="U6">
        <v>5.25</v>
      </c>
      <c r="V6">
        <v>5.56</v>
      </c>
      <c r="W6">
        <v>5.83</v>
      </c>
      <c r="X6">
        <v>6.1</v>
      </c>
    </row>
    <row r="7" spans="13:25" x14ac:dyDescent="0.3">
      <c r="M7" t="s">
        <v>111</v>
      </c>
      <c r="N7">
        <v>1</v>
      </c>
      <c r="O7">
        <v>2</v>
      </c>
      <c r="P7">
        <v>3</v>
      </c>
      <c r="Q7">
        <v>4</v>
      </c>
      <c r="R7">
        <v>5</v>
      </c>
      <c r="S7">
        <v>6</v>
      </c>
      <c r="T7">
        <v>7</v>
      </c>
      <c r="U7">
        <v>8</v>
      </c>
      <c r="V7">
        <v>9</v>
      </c>
      <c r="W7">
        <v>10</v>
      </c>
      <c r="X7">
        <v>11</v>
      </c>
      <c r="Y7">
        <v>12</v>
      </c>
    </row>
    <row r="54" spans="13:25" x14ac:dyDescent="0.3">
      <c r="M54" t="s">
        <v>109</v>
      </c>
      <c r="N54">
        <v>-5</v>
      </c>
      <c r="O54">
        <v>0</v>
      </c>
      <c r="P54">
        <v>5</v>
      </c>
      <c r="Q54">
        <v>10</v>
      </c>
      <c r="R54">
        <v>15</v>
      </c>
      <c r="S54">
        <v>20</v>
      </c>
      <c r="T54">
        <v>25</v>
      </c>
      <c r="U54">
        <v>30</v>
      </c>
      <c r="V54">
        <v>35</v>
      </c>
      <c r="W54">
        <v>40</v>
      </c>
      <c r="X54">
        <v>45</v>
      </c>
      <c r="Y54">
        <v>50</v>
      </c>
    </row>
    <row r="55" spans="13:25" x14ac:dyDescent="0.3">
      <c r="M55" t="s">
        <v>110</v>
      </c>
      <c r="N55">
        <v>2.5099999999999998</v>
      </c>
      <c r="O55">
        <v>2.92</v>
      </c>
      <c r="P55">
        <v>3.34</v>
      </c>
      <c r="Q55">
        <v>3.8</v>
      </c>
      <c r="R55">
        <v>4.21</v>
      </c>
      <c r="S55">
        <v>4.7</v>
      </c>
      <c r="T55">
        <v>4.92</v>
      </c>
      <c r="U55">
        <v>5.25</v>
      </c>
      <c r="V55">
        <v>5.56</v>
      </c>
      <c r="W55">
        <v>5.83</v>
      </c>
      <c r="X55">
        <v>6.1</v>
      </c>
    </row>
    <row r="56" spans="13:25" x14ac:dyDescent="0.3">
      <c r="M56" t="s">
        <v>111</v>
      </c>
      <c r="N56">
        <v>1</v>
      </c>
      <c r="O56">
        <v>2</v>
      </c>
      <c r="P56">
        <v>3</v>
      </c>
      <c r="Q56">
        <v>4</v>
      </c>
      <c r="R56">
        <v>5</v>
      </c>
      <c r="S56">
        <v>6</v>
      </c>
      <c r="T56">
        <v>7</v>
      </c>
      <c r="U56">
        <v>8</v>
      </c>
      <c r="V56">
        <v>9</v>
      </c>
      <c r="W56">
        <v>10</v>
      </c>
      <c r="X56">
        <v>11</v>
      </c>
      <c r="Y56">
        <v>12</v>
      </c>
    </row>
    <row r="62" spans="13:25" x14ac:dyDescent="0.3">
      <c r="N62">
        <v>2.5099999999999998</v>
      </c>
      <c r="O62">
        <v>2.92</v>
      </c>
      <c r="P62">
        <v>3.34</v>
      </c>
      <c r="Q62">
        <v>3.8</v>
      </c>
      <c r="R62">
        <v>4.21</v>
      </c>
      <c r="S62">
        <v>4.7</v>
      </c>
      <c r="T62">
        <v>4.92</v>
      </c>
      <c r="U62">
        <v>5.25</v>
      </c>
      <c r="V62">
        <v>5.56</v>
      </c>
      <c r="W62">
        <v>5.83</v>
      </c>
      <c r="X62">
        <v>6.1</v>
      </c>
    </row>
    <row r="65" spans="15:17" x14ac:dyDescent="0.3">
      <c r="O65">
        <v>2.5099999999999998</v>
      </c>
      <c r="Q65">
        <f>O65*P66</f>
        <v>2.92</v>
      </c>
    </row>
    <row r="66" spans="15:17" x14ac:dyDescent="0.3">
      <c r="O66">
        <v>2.92</v>
      </c>
      <c r="P66">
        <f t="shared" ref="P66:P74" si="0">O66/O65</f>
        <v>1.1633466135458168</v>
      </c>
      <c r="Q66">
        <f t="shared" ref="Q66:Q74" si="1">O66*P67</f>
        <v>3.34</v>
      </c>
    </row>
    <row r="67" spans="15:17" x14ac:dyDescent="0.3">
      <c r="O67">
        <v>3.34</v>
      </c>
      <c r="P67">
        <f t="shared" si="0"/>
        <v>1.1438356164383561</v>
      </c>
      <c r="Q67">
        <f t="shared" si="1"/>
        <v>3.8000000000000003</v>
      </c>
    </row>
    <row r="68" spans="15:17" x14ac:dyDescent="0.3">
      <c r="O68">
        <v>3.8</v>
      </c>
      <c r="P68">
        <f t="shared" si="0"/>
        <v>1.1377245508982037</v>
      </c>
      <c r="Q68">
        <f t="shared" si="1"/>
        <v>4.21</v>
      </c>
    </row>
    <row r="69" spans="15:17" x14ac:dyDescent="0.3">
      <c r="O69">
        <v>4.21</v>
      </c>
      <c r="P69">
        <f t="shared" si="0"/>
        <v>1.1078947368421053</v>
      </c>
      <c r="Q69">
        <f t="shared" si="1"/>
        <v>4.7152000000000003</v>
      </c>
    </row>
    <row r="70" spans="15:17" x14ac:dyDescent="0.3">
      <c r="O70">
        <v>4.8899999999999997</v>
      </c>
      <c r="P70">
        <v>1.1200000000000001</v>
      </c>
      <c r="Q70">
        <f t="shared" si="1"/>
        <v>4.96</v>
      </c>
    </row>
    <row r="71" spans="15:17" x14ac:dyDescent="0.3">
      <c r="O71">
        <v>4.96</v>
      </c>
      <c r="P71">
        <f t="shared" si="0"/>
        <v>1.0143149284253579</v>
      </c>
      <c r="Q71">
        <f t="shared" si="1"/>
        <v>5.2500000000000009</v>
      </c>
    </row>
    <row r="72" spans="15:17" x14ac:dyDescent="0.3">
      <c r="O72">
        <v>5.25</v>
      </c>
      <c r="P72">
        <f t="shared" si="0"/>
        <v>1.058467741935484</v>
      </c>
      <c r="Q72">
        <f t="shared" si="1"/>
        <v>5.56</v>
      </c>
    </row>
    <row r="73" spans="15:17" x14ac:dyDescent="0.3">
      <c r="O73">
        <v>5.56</v>
      </c>
      <c r="P73">
        <f t="shared" si="0"/>
        <v>1.059047619047619</v>
      </c>
      <c r="Q73">
        <f t="shared" si="1"/>
        <v>5.83</v>
      </c>
    </row>
    <row r="74" spans="15:17" x14ac:dyDescent="0.3">
      <c r="O74">
        <v>5.83</v>
      </c>
      <c r="P74">
        <f t="shared" si="0"/>
        <v>1.0485611510791368</v>
      </c>
      <c r="Q74">
        <f t="shared" si="1"/>
        <v>6.1000000000000005</v>
      </c>
    </row>
    <row r="75" spans="15:17" x14ac:dyDescent="0.3">
      <c r="O75">
        <v>6.1</v>
      </c>
      <c r="P75">
        <f>O75/O74</f>
        <v>1.0463121783876501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Master</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MECHZEPHYR ENGINEERING</dc:creator>
  <cp:lastModifiedBy>Deepak kumar</cp:lastModifiedBy>
  <cp:lastPrinted>2025-06-12T18:18:32Z</cp:lastPrinted>
  <dcterms:created xsi:type="dcterms:W3CDTF">2018-04-30T11:06:15Z</dcterms:created>
  <dcterms:modified xsi:type="dcterms:W3CDTF">2025-06-29T06:17:05Z</dcterms:modified>
</cp:coreProperties>
</file>