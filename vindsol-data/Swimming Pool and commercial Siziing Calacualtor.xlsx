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80a2f8e92fe779/New product masters/Heat pump/Lucking start/Swimming pool heat pump project/Swimming pool calculator/"/>
    </mc:Choice>
  </mc:AlternateContent>
  <xr:revisionPtr revIDLastSave="7" documentId="13_ncr:1_{9F5B6CB6-1A37-494E-B7EC-31E18FAFA1CA}" xr6:coauthVersionLast="47" xr6:coauthVersionMax="47" xr10:uidLastSave="{A518E6E8-4555-4046-BD87-894E0DB9C364}"/>
  <bookViews>
    <workbookView xWindow="-110" yWindow="-110" windowWidth="22780" windowHeight="14660" xr2:uid="{35D6C7D9-9A0C-4C69-BAD9-CA895A64AF07}"/>
  </bookViews>
  <sheets>
    <sheet name="Simming Pool" sheetId="1" r:id="rId1"/>
    <sheet name="Commerci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3" l="1"/>
  <c r="C14" i="3" s="1"/>
  <c r="C40" i="1" l="1"/>
  <c r="C29" i="1"/>
  <c r="C8" i="1"/>
  <c r="C11" i="1" s="1"/>
  <c r="C19" i="1"/>
  <c r="C21" i="1" l="1"/>
</calcChain>
</file>

<file path=xl/sharedStrings.xml><?xml version="1.0" encoding="utf-8"?>
<sst xmlns="http://schemas.openxmlformats.org/spreadsheetml/2006/main" count="103" uniqueCount="67">
  <si>
    <t>V</t>
  </si>
  <si>
    <t>Q2</t>
  </si>
  <si>
    <t>Swim Pool Volumn  m3   (100m3)</t>
  </si>
  <si>
    <t>Water Supply Percentage, ％</t>
  </si>
  <si>
    <t>Swim Pool Req. Temperature℃</t>
  </si>
  <si>
    <t>T1</t>
  </si>
  <si>
    <t>T2</t>
  </si>
  <si>
    <t>Swim Pool Heat Capacity Q2</t>
  </si>
  <si>
    <t>B</t>
  </si>
  <si>
    <t>(℃)</t>
  </si>
  <si>
    <t>(%)</t>
  </si>
  <si>
    <t>(m3)</t>
  </si>
  <si>
    <t>Supply Heating Capacity for Water Supply, KW/h
Q2＝ ((V×B×1000/24)×(t2-t1))/860</t>
  </si>
  <si>
    <t>KW/h</t>
  </si>
  <si>
    <t>Outdoor Pool</t>
  </si>
  <si>
    <t>KJ/h</t>
  </si>
  <si>
    <t>w</t>
  </si>
  <si>
    <t>Indoor Pool</t>
  </si>
  <si>
    <r>
      <t>f  —Average Heat Lost</t>
    </r>
    <r>
      <rPr>
        <sz val="9"/>
        <color theme="1"/>
        <rFont val="SimSun"/>
      </rPr>
      <t>；</t>
    </r>
    <r>
      <rPr>
        <sz val="9"/>
        <color theme="1"/>
        <rFont val="Arial"/>
        <family val="2"/>
      </rPr>
      <t xml:space="preserve"> Water Temperature at 34℃</t>
    </r>
    <r>
      <rPr>
        <sz val="9"/>
        <color theme="1"/>
        <rFont val="SimSun"/>
      </rPr>
      <t>，</t>
    </r>
    <r>
      <rPr>
        <sz val="9"/>
        <color theme="1"/>
        <rFont val="Arial"/>
        <family val="2"/>
      </rPr>
      <t>Swim Pool Indoor Temperature at 28℃</t>
    </r>
  </si>
  <si>
    <t>Length Of the pool</t>
  </si>
  <si>
    <t>L</t>
  </si>
  <si>
    <t>Width Of the Pool</t>
  </si>
  <si>
    <t>W</t>
  </si>
  <si>
    <t>Surface Area of Pool</t>
  </si>
  <si>
    <t>m</t>
  </si>
  <si>
    <t>Average Heat loss @ ℃</t>
  </si>
  <si>
    <t>f</t>
  </si>
  <si>
    <t>Calculated Under water pool temperature at 28C, Air Humidity at 50%, wind speed at indoor 0.5m/s, outdoor wind 2m/s</t>
  </si>
  <si>
    <t>Surface Heating Capacity for Water Supply, KW/h
Q1＝ mXf (Kwh)</t>
  </si>
  <si>
    <t>Example Calculation values taken 
Swim Pool Volume = 100 m3
Swim pool Space 8.366 X 8.3666
Swimming pool Req . Temp : 28℃</t>
  </si>
  <si>
    <t>Q1</t>
  </si>
  <si>
    <t>Q=Q1+Q2</t>
  </si>
  <si>
    <t>Supply Heating Capacity for Water Supply, KW/h
Q3=V×(t2-t1)×(1000/860)/48</t>
  </si>
  <si>
    <t>Swim Pool Heat Capacity Q3</t>
  </si>
  <si>
    <t>Q3</t>
  </si>
  <si>
    <t>Water Supply Original Input 
Temperature℃</t>
  </si>
  <si>
    <t>Calculation Method 2</t>
  </si>
  <si>
    <t>Total Pool Heating Capacity Q</t>
  </si>
  <si>
    <t>Swimming POOL Sizing Calculator</t>
  </si>
  <si>
    <t>Swim Pool Heat Capacity FH</t>
  </si>
  <si>
    <t>FH</t>
  </si>
  <si>
    <t>Supply Heating Capacity for Water Supply, KW/h
FH=(4200 X V X (T2-T1))/(3600*24)</t>
  </si>
  <si>
    <t>First Heating Needed Time:</t>
  </si>
  <si>
    <r>
      <rPr>
        <b/>
        <sz val="9"/>
        <color theme="1"/>
        <rFont val="Arial"/>
        <family val="2"/>
      </rPr>
      <t>1. Keep the swim pool temperature 28 degrees to 30 degrees.</t>
    </r>
    <r>
      <rPr>
        <sz val="9"/>
        <color theme="1"/>
        <rFont val="Arial"/>
        <family val="2"/>
      </rPr>
      <t xml:space="preserve">
Indoor Pool:  Take the SWHP(Swim Pool Heat Pump) as 1:15
Outdoor Pool: Take the SWHP(Swim Pool Heat Pump) as 1:12 
</t>
    </r>
    <r>
      <rPr>
        <b/>
        <sz val="9"/>
        <color theme="1"/>
        <rFont val="Arial"/>
        <family val="2"/>
      </rPr>
      <t>2. Keep the swim pool temperature 30 degrees to 32 degrees.</t>
    </r>
    <r>
      <rPr>
        <sz val="9"/>
        <color theme="1"/>
        <rFont val="Arial"/>
        <family val="2"/>
      </rPr>
      <t xml:space="preserve">
Indoor Pool:  Take the SWHP(Swim Pool Heat Pump) as 1:5
Outdoor Pool: Take the SWHP(Swim Pool Heat Pump) as 1:3
</t>
    </r>
    <r>
      <rPr>
        <b/>
        <sz val="9"/>
        <color theme="1"/>
        <rFont val="Arial"/>
        <family val="2"/>
      </rPr>
      <t>3. Keep the swim pool temperature 32 degrees to 35 degrees.</t>
    </r>
    <r>
      <rPr>
        <sz val="9"/>
        <color theme="1"/>
        <rFont val="Arial"/>
        <family val="2"/>
      </rPr>
      <t xml:space="preserve">
Indoor Pool:  Take the SWHP(Swim Pool Heat Pump) as 1:1
Outdoor Pool: Take the SWHP(Swim Pool Heat Pump) as 1:0.8</t>
    </r>
  </si>
  <si>
    <t>General Thumb Rule selection</t>
  </si>
  <si>
    <t>Ambient Temp.℃</t>
  </si>
  <si>
    <t>Water Supply Original Input 
Temp.℃</t>
  </si>
  <si>
    <t xml:space="preserve">Take the Max KW/h unit between Q and Q3. 
This will be the required Heating capacity ( Kw/h) for the swimming pool , SO in this example it will be 31.5 KWh </t>
  </si>
  <si>
    <t xml:space="preserve">Net Load to Heat total Required Water </t>
  </si>
  <si>
    <t>Hrs</t>
  </si>
  <si>
    <t>HT</t>
  </si>
  <si>
    <t>Heating time Per day Hrs</t>
  </si>
  <si>
    <t>°C</t>
  </si>
  <si>
    <r>
      <t xml:space="preserve">Output Water Temperature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</si>
  <si>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Input Water Temperature °C</t>
  </si>
  <si>
    <t>Lts</t>
  </si>
  <si>
    <t>Volume of Water to be heated</t>
  </si>
  <si>
    <t>Kcal/K°C</t>
  </si>
  <si>
    <t>SP</t>
  </si>
  <si>
    <t>Specific Heat of water</t>
  </si>
  <si>
    <t>Commercial Heat pump Sizing Calculator</t>
  </si>
  <si>
    <t>Heat Capacity of heat pump, KW/h
Q＝ SP X V X (T2-T1) / 860 X HT</t>
  </si>
  <si>
    <t>Q</t>
  </si>
  <si>
    <t>Calculation</t>
  </si>
  <si>
    <r>
      <rPr>
        <b/>
        <sz val="11"/>
        <color theme="1"/>
        <rFont val="Calibri"/>
        <family val="2"/>
        <scheme val="minor"/>
      </rPr>
      <t>EXAMPLE CALCULATION :</t>
    </r>
    <r>
      <rPr>
        <sz val="11"/>
        <color theme="1"/>
        <rFont val="Calibri"/>
        <family val="2"/>
        <scheme val="minor"/>
      </rPr>
      <t xml:space="preserve">
Assuming that 1000L of 20℃ cool water needs to be heated to 55℃ every day, then the heat load = 1*1000*(55-20) = 35000Kcal; 1kW. H = 860Kcal, then the heat load = 35000/860 = 41KW. H. If the heating time is 5.5 hours per day, the the heating capacity of the required heat pump model can be calculated: 41/5.5 = 7KW.</t>
    </r>
  </si>
  <si>
    <t>Heat Capacity of heat pump Model to be selected</t>
  </si>
  <si>
    <t>Calculation Method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</si>
</sst>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SimSun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5"/>
      <color theme="1"/>
      <name val="Calibri"/>
      <family val="2"/>
      <scheme val="minor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3" borderId="5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0" fillId="0" borderId="5" xfId="0" applyBorder="1" applyAlignment="1">
      <alignment wrapText="1"/>
    </xf>
    <xf numFmtId="0" fontId="1" fillId="2" borderId="5" xfId="0" applyFont="1" applyFill="1" applyBorder="1"/>
    <xf numFmtId="0" fontId="1" fillId="2" borderId="0" xfId="0" applyFont="1" applyFill="1" applyBorder="1" applyAlignment="1">
      <alignment horizontal="center"/>
    </xf>
    <xf numFmtId="2" fontId="1" fillId="2" borderId="0" xfId="0" applyNumberFormat="1" applyFont="1" applyFill="1" applyBorder="1"/>
    <xf numFmtId="0" fontId="1" fillId="2" borderId="0" xfId="0" applyFont="1" applyFill="1" applyBorder="1"/>
    <xf numFmtId="0" fontId="2" fillId="0" borderId="5" xfId="0" applyFont="1" applyBorder="1"/>
    <xf numFmtId="0" fontId="0" fillId="0" borderId="8" xfId="0" applyBorder="1"/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0" fontId="0" fillId="0" borderId="7" xfId="0" applyBorder="1"/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1" fillId="3" borderId="13" xfId="0" applyFont="1" applyFill="1" applyBorder="1" applyAlignment="1">
      <alignment wrapText="1"/>
    </xf>
    <xf numFmtId="0" fontId="2" fillId="0" borderId="13" xfId="0" applyFont="1" applyBorder="1"/>
    <xf numFmtId="0" fontId="0" fillId="0" borderId="15" xfId="0" applyBorder="1"/>
    <xf numFmtId="0" fontId="0" fillId="0" borderId="16" xfId="0" applyBorder="1"/>
    <xf numFmtId="0" fontId="7" fillId="0" borderId="16" xfId="0" applyFont="1" applyBorder="1" applyAlignment="1">
      <alignment horizontal="left" vertical="center"/>
    </xf>
    <xf numFmtId="0" fontId="0" fillId="0" borderId="17" xfId="0" applyBorder="1"/>
    <xf numFmtId="0" fontId="1" fillId="2" borderId="13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3" xfId="0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0</xdr:row>
      <xdr:rowOff>57151</xdr:rowOff>
    </xdr:from>
    <xdr:to>
      <xdr:col>5</xdr:col>
      <xdr:colOff>247650</xdr:colOff>
      <xdr:row>0</xdr:row>
      <xdr:rowOff>550581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8B1DF-384A-4C2C-9732-112DA1478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600" y="57151"/>
          <a:ext cx="2000250" cy="493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0</xdr:row>
      <xdr:rowOff>57151</xdr:rowOff>
    </xdr:from>
    <xdr:to>
      <xdr:col>5</xdr:col>
      <xdr:colOff>138792</xdr:colOff>
      <xdr:row>0</xdr:row>
      <xdr:rowOff>550581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70510-D884-4795-8AB2-4A5956BE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600" y="57151"/>
          <a:ext cx="2000250" cy="493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47DE-B6AE-4ECE-A7D4-EB9859887202}">
  <dimension ref="A1:Q62"/>
  <sheetViews>
    <sheetView tabSelected="1" topLeftCell="A2" workbookViewId="0">
      <selection activeCell="A5" sqref="A5:D5"/>
    </sheetView>
  </sheetViews>
  <sheetFormatPr defaultRowHeight="14.5" x14ac:dyDescent="0.35"/>
  <cols>
    <col min="1" max="1" width="28.90625" customWidth="1"/>
    <col min="5" max="5" width="4.1796875" customWidth="1"/>
    <col min="7" max="10" width="6.90625" customWidth="1"/>
  </cols>
  <sheetData>
    <row r="1" spans="1:10" ht="48.5" customHeight="1" x14ac:dyDescent="0.35">
      <c r="A1" s="59"/>
      <c r="B1" s="60"/>
      <c r="C1" s="60"/>
      <c r="D1" s="60"/>
      <c r="E1" s="60"/>
      <c r="F1" s="60"/>
      <c r="G1" s="60"/>
      <c r="H1" s="60"/>
      <c r="I1" s="60"/>
      <c r="J1" s="61"/>
    </row>
    <row r="2" spans="1:10" ht="19.5" x14ac:dyDescent="0.45">
      <c r="A2" s="56" t="s">
        <v>38</v>
      </c>
      <c r="B2" s="57"/>
      <c r="C2" s="57"/>
      <c r="D2" s="57"/>
      <c r="E2" s="57"/>
      <c r="F2" s="57"/>
      <c r="G2" s="57"/>
      <c r="H2" s="57"/>
      <c r="I2" s="57"/>
      <c r="J2" s="58"/>
    </row>
    <row r="3" spans="1:10" x14ac:dyDescent="0.35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14.5" customHeight="1" x14ac:dyDescent="0.35">
      <c r="A4" s="45" t="s">
        <v>66</v>
      </c>
      <c r="B4" s="46"/>
      <c r="C4" s="46"/>
      <c r="D4" s="46"/>
      <c r="E4" s="11"/>
      <c r="F4" s="65" t="s">
        <v>29</v>
      </c>
      <c r="G4" s="66"/>
      <c r="H4" s="66"/>
      <c r="I4" s="66"/>
      <c r="J4" s="67"/>
    </row>
    <row r="5" spans="1:10" s="1" customFormat="1" ht="28.5" customHeight="1" x14ac:dyDescent="0.35">
      <c r="A5" s="47" t="s">
        <v>28</v>
      </c>
      <c r="B5" s="48"/>
      <c r="C5" s="48"/>
      <c r="D5" s="48"/>
      <c r="E5" s="11"/>
      <c r="F5" s="68"/>
      <c r="G5" s="48"/>
      <c r="H5" s="48"/>
      <c r="I5" s="48"/>
      <c r="J5" s="69"/>
    </row>
    <row r="6" spans="1:10" ht="14.5" customHeight="1" x14ac:dyDescent="0.35">
      <c r="A6" s="8" t="s">
        <v>19</v>
      </c>
      <c r="B6" s="12" t="s">
        <v>20</v>
      </c>
      <c r="C6" s="12">
        <v>9.1</v>
      </c>
      <c r="D6" s="9" t="s">
        <v>11</v>
      </c>
      <c r="E6" s="13"/>
      <c r="F6" s="68"/>
      <c r="G6" s="48"/>
      <c r="H6" s="48"/>
      <c r="I6" s="48"/>
      <c r="J6" s="69"/>
    </row>
    <row r="7" spans="1:10" x14ac:dyDescent="0.35">
      <c r="A7" s="8" t="s">
        <v>21</v>
      </c>
      <c r="B7" s="12" t="s">
        <v>22</v>
      </c>
      <c r="C7" s="12">
        <v>9.1</v>
      </c>
      <c r="D7" s="9" t="s">
        <v>10</v>
      </c>
      <c r="E7" s="9"/>
      <c r="F7" s="70"/>
      <c r="G7" s="71"/>
      <c r="H7" s="71"/>
      <c r="I7" s="71"/>
      <c r="J7" s="72"/>
    </row>
    <row r="8" spans="1:10" x14ac:dyDescent="0.35">
      <c r="A8" s="8" t="s">
        <v>23</v>
      </c>
      <c r="B8" s="12" t="s">
        <v>24</v>
      </c>
      <c r="C8" s="12">
        <f>C7*C6</f>
        <v>82.809999999999988</v>
      </c>
      <c r="D8" s="9" t="s">
        <v>9</v>
      </c>
      <c r="E8" s="9"/>
      <c r="F8" s="14"/>
      <c r="G8" s="14"/>
      <c r="H8" s="14"/>
      <c r="I8" s="14"/>
      <c r="J8" s="10"/>
    </row>
    <row r="9" spans="1:10" ht="28" customHeight="1" x14ac:dyDescent="0.35">
      <c r="A9" s="8" t="s">
        <v>25</v>
      </c>
      <c r="B9" s="12" t="s">
        <v>26</v>
      </c>
      <c r="C9" s="12">
        <v>0.72099999999999997</v>
      </c>
      <c r="D9" s="9" t="s">
        <v>9</v>
      </c>
      <c r="E9" s="9"/>
      <c r="F9" s="62" t="s">
        <v>18</v>
      </c>
      <c r="G9" s="62"/>
      <c r="H9" s="62"/>
      <c r="I9" s="62"/>
      <c r="J9" s="63"/>
    </row>
    <row r="10" spans="1:10" x14ac:dyDescent="0.35">
      <c r="A10" s="8"/>
      <c r="B10" s="15"/>
      <c r="C10" s="9"/>
      <c r="D10" s="9"/>
      <c r="E10" s="9"/>
      <c r="F10" s="64" t="s">
        <v>45</v>
      </c>
      <c r="G10" s="64" t="s">
        <v>14</v>
      </c>
      <c r="H10" s="64"/>
      <c r="I10" s="64" t="s">
        <v>17</v>
      </c>
      <c r="J10" s="64"/>
    </row>
    <row r="11" spans="1:10" x14ac:dyDescent="0.35">
      <c r="A11" s="16" t="s">
        <v>7</v>
      </c>
      <c r="B11" s="17" t="s">
        <v>30</v>
      </c>
      <c r="C11" s="18">
        <f>C9*C8</f>
        <v>59.706009999999992</v>
      </c>
      <c r="D11" s="18" t="s">
        <v>13</v>
      </c>
      <c r="E11" s="9"/>
      <c r="F11" s="64"/>
      <c r="G11" s="29" t="s">
        <v>15</v>
      </c>
      <c r="H11" s="29" t="s">
        <v>16</v>
      </c>
      <c r="I11" s="29" t="s">
        <v>15</v>
      </c>
      <c r="J11" s="29" t="s">
        <v>16</v>
      </c>
    </row>
    <row r="12" spans="1:10" x14ac:dyDescent="0.35">
      <c r="A12" s="8"/>
      <c r="B12" s="9"/>
      <c r="C12" s="9"/>
      <c r="D12" s="9"/>
      <c r="E12" s="9"/>
      <c r="F12" s="29">
        <v>5</v>
      </c>
      <c r="G12" s="29">
        <v>4522</v>
      </c>
      <c r="H12" s="29">
        <v>1256</v>
      </c>
      <c r="I12" s="29">
        <v>2345</v>
      </c>
      <c r="J12" s="29">
        <v>651</v>
      </c>
    </row>
    <row r="13" spans="1:10" ht="30.5" customHeight="1" x14ac:dyDescent="0.35">
      <c r="A13" s="47" t="s">
        <v>12</v>
      </c>
      <c r="B13" s="48"/>
      <c r="C13" s="48"/>
      <c r="D13" s="48"/>
      <c r="E13" s="9"/>
      <c r="F13" s="29">
        <v>10</v>
      </c>
      <c r="G13" s="29">
        <v>4187</v>
      </c>
      <c r="H13" s="29">
        <v>1163</v>
      </c>
      <c r="I13" s="29">
        <v>2177</v>
      </c>
      <c r="J13" s="29">
        <v>605</v>
      </c>
    </row>
    <row r="14" spans="1:10" x14ac:dyDescent="0.35">
      <c r="A14" s="8" t="s">
        <v>2</v>
      </c>
      <c r="B14" s="12" t="s">
        <v>0</v>
      </c>
      <c r="C14" s="12">
        <v>100</v>
      </c>
      <c r="D14" s="9" t="s">
        <v>11</v>
      </c>
      <c r="E14" s="14"/>
      <c r="F14" s="29">
        <v>15</v>
      </c>
      <c r="G14" s="29">
        <v>3852</v>
      </c>
      <c r="H14" s="29">
        <v>1070</v>
      </c>
      <c r="I14" s="29">
        <v>2010</v>
      </c>
      <c r="J14" s="29">
        <v>558</v>
      </c>
    </row>
    <row r="15" spans="1:10" x14ac:dyDescent="0.35">
      <c r="A15" s="8" t="s">
        <v>3</v>
      </c>
      <c r="B15" s="12" t="s">
        <v>8</v>
      </c>
      <c r="C15" s="12">
        <v>0.05</v>
      </c>
      <c r="D15" s="9" t="s">
        <v>10</v>
      </c>
      <c r="E15" s="9"/>
      <c r="F15" s="29">
        <v>20</v>
      </c>
      <c r="G15" s="29">
        <v>3433</v>
      </c>
      <c r="H15" s="29">
        <v>953</v>
      </c>
      <c r="I15" s="29">
        <v>1842</v>
      </c>
      <c r="J15" s="29">
        <v>512</v>
      </c>
    </row>
    <row r="16" spans="1:10" x14ac:dyDescent="0.35">
      <c r="A16" s="8" t="s">
        <v>4</v>
      </c>
      <c r="B16" s="12" t="s">
        <v>6</v>
      </c>
      <c r="C16" s="12">
        <v>28</v>
      </c>
      <c r="D16" s="9" t="s">
        <v>9</v>
      </c>
      <c r="E16" s="9"/>
      <c r="F16" s="29">
        <v>25</v>
      </c>
      <c r="G16" s="29">
        <v>2931</v>
      </c>
      <c r="H16" s="29">
        <v>814</v>
      </c>
      <c r="I16" s="29">
        <v>1507</v>
      </c>
      <c r="J16" s="29">
        <v>419</v>
      </c>
    </row>
    <row r="17" spans="1:10" ht="29" x14ac:dyDescent="0.35">
      <c r="A17" s="19" t="s">
        <v>35</v>
      </c>
      <c r="B17" s="12" t="s">
        <v>5</v>
      </c>
      <c r="C17" s="12">
        <v>15</v>
      </c>
      <c r="D17" s="9" t="s">
        <v>9</v>
      </c>
      <c r="E17" s="9"/>
      <c r="F17" s="29">
        <v>26</v>
      </c>
      <c r="G17" s="29">
        <v>2847</v>
      </c>
      <c r="H17" s="29">
        <v>791</v>
      </c>
      <c r="I17" s="29">
        <v>1465</v>
      </c>
      <c r="J17" s="29">
        <v>407</v>
      </c>
    </row>
    <row r="18" spans="1:10" x14ac:dyDescent="0.35">
      <c r="A18" s="8"/>
      <c r="B18" s="15"/>
      <c r="C18" s="9"/>
      <c r="D18" s="9"/>
      <c r="E18" s="9"/>
      <c r="F18" s="29">
        <v>27</v>
      </c>
      <c r="G18" s="29">
        <v>2721</v>
      </c>
      <c r="H18" s="29">
        <v>756</v>
      </c>
      <c r="I18" s="29">
        <v>1382</v>
      </c>
      <c r="J18" s="29">
        <v>384</v>
      </c>
    </row>
    <row r="19" spans="1:10" x14ac:dyDescent="0.35">
      <c r="A19" s="16" t="s">
        <v>7</v>
      </c>
      <c r="B19" s="17" t="s">
        <v>1</v>
      </c>
      <c r="C19" s="18">
        <f>(C14*C15*1000/24)*(C16-C17)/860</f>
        <v>3.1492248062015507</v>
      </c>
      <c r="D19" s="18" t="s">
        <v>13</v>
      </c>
      <c r="E19" s="9"/>
      <c r="F19" s="29">
        <v>28</v>
      </c>
      <c r="G19" s="29">
        <v>2596</v>
      </c>
      <c r="H19" s="29">
        <v>721</v>
      </c>
      <c r="I19" s="29">
        <v>1340</v>
      </c>
      <c r="J19" s="29">
        <v>372</v>
      </c>
    </row>
    <row r="20" spans="1:10" x14ac:dyDescent="0.35">
      <c r="A20" s="8"/>
      <c r="B20" s="9"/>
      <c r="C20" s="9"/>
      <c r="D20" s="9"/>
      <c r="E20" s="9"/>
      <c r="F20" s="29">
        <v>29</v>
      </c>
      <c r="G20" s="29">
        <v>2470</v>
      </c>
      <c r="H20" s="29">
        <v>686</v>
      </c>
      <c r="I20" s="29">
        <v>1256</v>
      </c>
      <c r="J20" s="29">
        <v>349</v>
      </c>
    </row>
    <row r="21" spans="1:10" x14ac:dyDescent="0.35">
      <c r="A21" s="20" t="s">
        <v>37</v>
      </c>
      <c r="B21" s="21" t="s">
        <v>31</v>
      </c>
      <c r="C21" s="22">
        <f>C19+C11</f>
        <v>62.855234806201544</v>
      </c>
      <c r="D21" s="23" t="s">
        <v>13</v>
      </c>
      <c r="E21" s="9"/>
      <c r="F21" s="29">
        <v>30</v>
      </c>
      <c r="G21" s="29">
        <v>2302</v>
      </c>
      <c r="H21" s="29">
        <v>639</v>
      </c>
      <c r="I21" s="29">
        <v>1172</v>
      </c>
      <c r="J21" s="29">
        <v>325</v>
      </c>
    </row>
    <row r="22" spans="1:10" x14ac:dyDescent="0.35">
      <c r="A22" s="8"/>
      <c r="B22" s="9"/>
      <c r="C22" s="9"/>
      <c r="D22" s="9"/>
      <c r="E22" s="9"/>
      <c r="F22" s="49" t="s">
        <v>27</v>
      </c>
      <c r="G22" s="49"/>
      <c r="H22" s="49"/>
      <c r="I22" s="49"/>
      <c r="J22" s="50"/>
    </row>
    <row r="23" spans="1:10" x14ac:dyDescent="0.35">
      <c r="A23" s="45" t="s">
        <v>36</v>
      </c>
      <c r="B23" s="46"/>
      <c r="C23" s="46"/>
      <c r="D23" s="46"/>
      <c r="E23" s="9"/>
      <c r="F23" s="49"/>
      <c r="G23" s="49"/>
      <c r="H23" s="49"/>
      <c r="I23" s="49"/>
      <c r="J23" s="50"/>
    </row>
    <row r="24" spans="1:10" x14ac:dyDescent="0.35">
      <c r="A24" s="47" t="s">
        <v>32</v>
      </c>
      <c r="B24" s="48"/>
      <c r="C24" s="48"/>
      <c r="D24" s="48"/>
      <c r="E24" s="11"/>
      <c r="F24" s="49"/>
      <c r="G24" s="49"/>
      <c r="H24" s="49"/>
      <c r="I24" s="49"/>
      <c r="J24" s="50"/>
    </row>
    <row r="25" spans="1:10" x14ac:dyDescent="0.35">
      <c r="A25" s="8" t="s">
        <v>2</v>
      </c>
      <c r="B25" s="12" t="s">
        <v>0</v>
      </c>
      <c r="C25" s="12">
        <v>100</v>
      </c>
      <c r="D25" s="9" t="s">
        <v>11</v>
      </c>
      <c r="E25" s="9"/>
      <c r="F25" s="54" t="s">
        <v>44</v>
      </c>
      <c r="G25" s="54"/>
      <c r="H25" s="54"/>
      <c r="I25" s="54"/>
      <c r="J25" s="55"/>
    </row>
    <row r="26" spans="1:10" x14ac:dyDescent="0.35">
      <c r="A26" s="8" t="s">
        <v>4</v>
      </c>
      <c r="B26" s="12" t="s">
        <v>6</v>
      </c>
      <c r="C26" s="12">
        <v>28</v>
      </c>
      <c r="D26" s="9" t="s">
        <v>9</v>
      </c>
      <c r="E26" s="13"/>
      <c r="F26" s="51" t="s">
        <v>43</v>
      </c>
      <c r="G26" s="52"/>
      <c r="H26" s="52"/>
      <c r="I26" s="52"/>
      <c r="J26" s="53"/>
    </row>
    <row r="27" spans="1:10" ht="29" x14ac:dyDescent="0.35">
      <c r="A27" s="19" t="s">
        <v>46</v>
      </c>
      <c r="B27" s="12" t="s">
        <v>5</v>
      </c>
      <c r="C27" s="12">
        <v>15</v>
      </c>
      <c r="D27" s="9" t="s">
        <v>9</v>
      </c>
      <c r="E27" s="9"/>
      <c r="F27" s="52"/>
      <c r="G27" s="52"/>
      <c r="H27" s="52"/>
      <c r="I27" s="52"/>
      <c r="J27" s="53"/>
    </row>
    <row r="28" spans="1:10" x14ac:dyDescent="0.35">
      <c r="A28" s="8"/>
      <c r="B28" s="12"/>
      <c r="C28" s="12"/>
      <c r="D28" s="9"/>
      <c r="E28" s="9"/>
      <c r="F28" s="52"/>
      <c r="G28" s="52"/>
      <c r="H28" s="52"/>
      <c r="I28" s="52"/>
      <c r="J28" s="53"/>
    </row>
    <row r="29" spans="1:10" x14ac:dyDescent="0.35">
      <c r="A29" s="20" t="s">
        <v>33</v>
      </c>
      <c r="B29" s="21" t="s">
        <v>34</v>
      </c>
      <c r="C29" s="22">
        <f>C25*(C26-C27)*((1000/860))/48</f>
        <v>31.492248062015506</v>
      </c>
      <c r="D29" s="23" t="s">
        <v>13</v>
      </c>
      <c r="E29" s="9"/>
      <c r="F29" s="52"/>
      <c r="G29" s="52"/>
      <c r="H29" s="52"/>
      <c r="I29" s="52"/>
      <c r="J29" s="53"/>
    </row>
    <row r="30" spans="1:10" x14ac:dyDescent="0.35">
      <c r="A30" s="24"/>
      <c r="B30" s="9"/>
      <c r="C30" s="9"/>
      <c r="D30" s="9"/>
      <c r="E30" s="9"/>
      <c r="F30" s="52"/>
      <c r="G30" s="52"/>
      <c r="H30" s="52"/>
      <c r="I30" s="52"/>
      <c r="J30" s="53"/>
    </row>
    <row r="31" spans="1:10" ht="44" customHeight="1" x14ac:dyDescent="0.35">
      <c r="A31" s="47" t="s">
        <v>47</v>
      </c>
      <c r="B31" s="48"/>
      <c r="C31" s="48"/>
      <c r="D31" s="48"/>
      <c r="E31" s="13"/>
      <c r="F31" s="52"/>
      <c r="G31" s="52"/>
      <c r="H31" s="52"/>
      <c r="I31" s="52"/>
      <c r="J31" s="53"/>
    </row>
    <row r="32" spans="1:10" x14ac:dyDescent="0.35">
      <c r="A32" s="8"/>
      <c r="B32" s="9"/>
      <c r="C32" s="9"/>
      <c r="D32" s="9"/>
      <c r="E32" s="9"/>
      <c r="F32" s="52"/>
      <c r="G32" s="52"/>
      <c r="H32" s="52"/>
      <c r="I32" s="52"/>
      <c r="J32" s="53"/>
    </row>
    <row r="33" spans="1:17" x14ac:dyDescent="0.35">
      <c r="A33" s="45" t="s">
        <v>42</v>
      </c>
      <c r="B33" s="46"/>
      <c r="C33" s="46"/>
      <c r="D33" s="46"/>
      <c r="E33" s="14"/>
      <c r="F33" s="52"/>
      <c r="G33" s="52"/>
      <c r="H33" s="52"/>
      <c r="I33" s="52"/>
      <c r="J33" s="53"/>
    </row>
    <row r="34" spans="1:17" x14ac:dyDescent="0.35">
      <c r="A34" s="8"/>
      <c r="B34" s="9"/>
      <c r="C34" s="9"/>
      <c r="D34" s="9"/>
      <c r="E34" s="9"/>
      <c r="F34" s="52"/>
      <c r="G34" s="52"/>
      <c r="H34" s="52"/>
      <c r="I34" s="52"/>
      <c r="J34" s="53"/>
    </row>
    <row r="35" spans="1:17" x14ac:dyDescent="0.35">
      <c r="A35" s="47" t="s">
        <v>41</v>
      </c>
      <c r="B35" s="48"/>
      <c r="C35" s="48"/>
      <c r="D35" s="48"/>
      <c r="E35" s="9"/>
      <c r="F35" s="52"/>
      <c r="G35" s="52"/>
      <c r="H35" s="52"/>
      <c r="I35" s="52"/>
      <c r="J35" s="53"/>
    </row>
    <row r="36" spans="1:17" x14ac:dyDescent="0.35">
      <c r="A36" s="8" t="s">
        <v>2</v>
      </c>
      <c r="B36" s="12" t="s">
        <v>0</v>
      </c>
      <c r="C36" s="12">
        <v>100</v>
      </c>
      <c r="D36" s="9" t="s">
        <v>11</v>
      </c>
      <c r="E36" s="9"/>
      <c r="F36" s="52"/>
      <c r="G36" s="52"/>
      <c r="H36" s="52"/>
      <c r="I36" s="52"/>
      <c r="J36" s="53"/>
    </row>
    <row r="37" spans="1:17" x14ac:dyDescent="0.35">
      <c r="A37" s="8" t="s">
        <v>4</v>
      </c>
      <c r="B37" s="12" t="s">
        <v>6</v>
      </c>
      <c r="C37" s="12">
        <v>28</v>
      </c>
      <c r="D37" s="9" t="s">
        <v>9</v>
      </c>
      <c r="E37" s="9"/>
      <c r="F37" s="52"/>
      <c r="G37" s="52"/>
      <c r="H37" s="52"/>
      <c r="I37" s="52"/>
      <c r="J37" s="53"/>
    </row>
    <row r="38" spans="1:17" ht="29" x14ac:dyDescent="0.35">
      <c r="A38" s="19" t="s">
        <v>46</v>
      </c>
      <c r="B38" s="12" t="s">
        <v>5</v>
      </c>
      <c r="C38" s="12">
        <v>15</v>
      </c>
      <c r="D38" s="9" t="s">
        <v>9</v>
      </c>
      <c r="E38" s="9"/>
      <c r="F38" s="52"/>
      <c r="G38" s="52"/>
      <c r="H38" s="52"/>
      <c r="I38" s="52"/>
      <c r="J38" s="53"/>
    </row>
    <row r="39" spans="1:17" ht="20" x14ac:dyDescent="0.35">
      <c r="A39" s="8"/>
      <c r="B39" s="12"/>
      <c r="C39" s="12"/>
      <c r="D39" s="9"/>
      <c r="E39" s="9"/>
      <c r="F39" s="52"/>
      <c r="G39" s="52"/>
      <c r="H39" s="52"/>
      <c r="I39" s="52"/>
      <c r="J39" s="53"/>
      <c r="Q39" s="2"/>
    </row>
    <row r="40" spans="1:17" x14ac:dyDescent="0.35">
      <c r="A40" s="20" t="s">
        <v>39</v>
      </c>
      <c r="B40" s="21" t="s">
        <v>40</v>
      </c>
      <c r="C40" s="22">
        <f>(4200*C36*(C37-C38))/(3600*24)</f>
        <v>63.194444444444443</v>
      </c>
      <c r="D40" s="23" t="s">
        <v>13</v>
      </c>
      <c r="E40" s="9"/>
      <c r="F40" s="9"/>
      <c r="G40" s="9"/>
      <c r="H40" s="9"/>
      <c r="I40" s="9"/>
      <c r="J40" s="10"/>
      <c r="Q40" s="3"/>
    </row>
    <row r="41" spans="1:17" x14ac:dyDescent="0.35">
      <c r="A41" s="24"/>
      <c r="B41" s="9"/>
      <c r="C41" s="9"/>
      <c r="D41" s="9"/>
      <c r="E41" s="9"/>
      <c r="F41" s="9"/>
      <c r="G41" s="9"/>
      <c r="H41" s="9"/>
      <c r="I41" s="9"/>
      <c r="J41" s="10"/>
      <c r="Q41" s="3"/>
    </row>
    <row r="42" spans="1:17" x14ac:dyDescent="0.35">
      <c r="A42" s="8"/>
      <c r="B42" s="9"/>
      <c r="C42" s="9"/>
      <c r="D42" s="9"/>
      <c r="E42" s="9"/>
      <c r="F42" s="9"/>
      <c r="G42" s="9"/>
      <c r="H42" s="9"/>
      <c r="I42" s="9"/>
      <c r="J42" s="10"/>
      <c r="Q42" s="4"/>
    </row>
    <row r="43" spans="1:17" x14ac:dyDescent="0.35">
      <c r="A43" s="25"/>
      <c r="B43" s="26"/>
      <c r="C43" s="26"/>
      <c r="D43" s="26"/>
      <c r="E43" s="26"/>
      <c r="F43" s="27"/>
      <c r="G43" s="26"/>
      <c r="H43" s="26"/>
      <c r="I43" s="26"/>
      <c r="J43" s="28"/>
      <c r="Q43" s="4"/>
    </row>
    <row r="44" spans="1:17" x14ac:dyDescent="0.35">
      <c r="F44" s="6"/>
      <c r="Q44" s="3"/>
    </row>
    <row r="45" spans="1:17" x14ac:dyDescent="0.35">
      <c r="F45" s="3"/>
      <c r="Q45" s="3"/>
    </row>
    <row r="46" spans="1:17" ht="14.5" customHeight="1" x14ac:dyDescent="0.35">
      <c r="F46" s="3"/>
      <c r="Q46" s="3"/>
    </row>
    <row r="47" spans="1:17" x14ac:dyDescent="0.35">
      <c r="Q47" s="5"/>
    </row>
    <row r="48" spans="1:17" x14ac:dyDescent="0.35">
      <c r="F48" s="5"/>
      <c r="Q48" s="5"/>
    </row>
    <row r="49" spans="6:6" x14ac:dyDescent="0.35">
      <c r="F49" s="6"/>
    </row>
    <row r="50" spans="6:6" x14ac:dyDescent="0.35">
      <c r="F50" s="5"/>
    </row>
    <row r="51" spans="6:6" x14ac:dyDescent="0.35">
      <c r="F51" s="3"/>
    </row>
    <row r="52" spans="6:6" x14ac:dyDescent="0.35">
      <c r="F52" s="3"/>
    </row>
    <row r="53" spans="6:6" x14ac:dyDescent="0.35">
      <c r="F53" s="7"/>
    </row>
    <row r="54" spans="6:6" x14ac:dyDescent="0.35">
      <c r="F54" s="6"/>
    </row>
    <row r="55" spans="6:6" x14ac:dyDescent="0.35">
      <c r="F55" s="5"/>
    </row>
    <row r="56" spans="6:6" x14ac:dyDescent="0.35">
      <c r="F56" s="3"/>
    </row>
    <row r="57" spans="6:6" x14ac:dyDescent="0.35">
      <c r="F57" s="3"/>
    </row>
    <row r="58" spans="6:6" x14ac:dyDescent="0.35">
      <c r="F58" s="5"/>
    </row>
    <row r="59" spans="6:6" x14ac:dyDescent="0.35">
      <c r="F59" s="6"/>
    </row>
    <row r="60" spans="6:6" x14ac:dyDescent="0.35">
      <c r="F60" s="5"/>
    </row>
    <row r="61" spans="6:6" x14ac:dyDescent="0.35">
      <c r="F61" s="3"/>
    </row>
    <row r="62" spans="6:6" x14ac:dyDescent="0.35">
      <c r="F62" s="3"/>
    </row>
  </sheetData>
  <mergeCells count="18">
    <mergeCell ref="A2:J2"/>
    <mergeCell ref="A1:J1"/>
    <mergeCell ref="F9:J9"/>
    <mergeCell ref="G10:H10"/>
    <mergeCell ref="I10:J10"/>
    <mergeCell ref="F10:F11"/>
    <mergeCell ref="F4:J7"/>
    <mergeCell ref="A4:D4"/>
    <mergeCell ref="A5:D5"/>
    <mergeCell ref="A33:D33"/>
    <mergeCell ref="A35:D35"/>
    <mergeCell ref="A13:D13"/>
    <mergeCell ref="A31:D31"/>
    <mergeCell ref="F22:J24"/>
    <mergeCell ref="F26:J39"/>
    <mergeCell ref="F25:J25"/>
    <mergeCell ref="A23:D23"/>
    <mergeCell ref="A24:D24"/>
  </mergeCells>
  <pageMargins left="0.37" right="0.28000000000000003" top="0.3" bottom="0.28000000000000003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6DF9-282F-4A8A-8ABA-05AF0F1D06E3}">
  <dimension ref="A1:Q37"/>
  <sheetViews>
    <sheetView zoomScale="105" workbookViewId="0">
      <selection activeCell="A28" sqref="A28"/>
    </sheetView>
  </sheetViews>
  <sheetFormatPr defaultRowHeight="14.5" x14ac:dyDescent="0.35"/>
  <cols>
    <col min="1" max="1" width="25.6328125" customWidth="1"/>
    <col min="5" max="5" width="5.7265625" customWidth="1"/>
    <col min="7" max="10" width="6.90625" customWidth="1"/>
  </cols>
  <sheetData>
    <row r="1" spans="1:17" ht="48.5" customHeight="1" x14ac:dyDescent="0.35">
      <c r="A1" s="82"/>
      <c r="B1" s="83"/>
      <c r="C1" s="83"/>
      <c r="D1" s="83"/>
      <c r="E1" s="83"/>
      <c r="F1" s="83"/>
      <c r="G1" s="83"/>
      <c r="H1" s="83"/>
      <c r="I1" s="83"/>
      <c r="J1" s="84"/>
    </row>
    <row r="2" spans="1:17" ht="19.5" x14ac:dyDescent="0.45">
      <c r="A2" s="85" t="s">
        <v>60</v>
      </c>
      <c r="B2" s="57"/>
      <c r="C2" s="57"/>
      <c r="D2" s="57"/>
      <c r="E2" s="57"/>
      <c r="F2" s="57"/>
      <c r="G2" s="57"/>
      <c r="H2" s="57"/>
      <c r="I2" s="57"/>
      <c r="J2" s="86"/>
    </row>
    <row r="3" spans="1:17" x14ac:dyDescent="0.35">
      <c r="A3" s="31"/>
      <c r="B3" s="9"/>
      <c r="C3" s="9"/>
      <c r="D3" s="9"/>
      <c r="E3" s="9"/>
      <c r="F3" s="9"/>
      <c r="G3" s="9"/>
      <c r="H3" s="9"/>
      <c r="I3" s="9"/>
      <c r="J3" s="32"/>
    </row>
    <row r="4" spans="1:17" ht="14.5" customHeight="1" x14ac:dyDescent="0.35">
      <c r="A4" s="87" t="s">
        <v>63</v>
      </c>
      <c r="B4" s="46"/>
      <c r="C4" s="46"/>
      <c r="D4" s="46"/>
      <c r="E4" s="11"/>
      <c r="F4" s="73" t="s">
        <v>64</v>
      </c>
      <c r="G4" s="74"/>
      <c r="H4" s="74"/>
      <c r="I4" s="75"/>
      <c r="J4" s="13"/>
      <c r="K4" s="9"/>
      <c r="L4" s="9"/>
      <c r="M4" s="9"/>
    </row>
    <row r="5" spans="1:17" s="1" customFormat="1" ht="28.5" customHeight="1" x14ac:dyDescent="0.35">
      <c r="A5" s="68" t="s">
        <v>61</v>
      </c>
      <c r="B5" s="48"/>
      <c r="C5" s="48"/>
      <c r="D5" s="48"/>
      <c r="E5" s="11"/>
      <c r="F5" s="76"/>
      <c r="G5" s="77"/>
      <c r="H5" s="77"/>
      <c r="I5" s="78"/>
      <c r="J5" s="13"/>
      <c r="K5" s="42"/>
      <c r="L5" s="42"/>
      <c r="M5" s="42"/>
    </row>
    <row r="6" spans="1:17" ht="17.5" customHeight="1" x14ac:dyDescent="0.35">
      <c r="A6" s="43" t="s">
        <v>59</v>
      </c>
      <c r="B6" s="15" t="s">
        <v>58</v>
      </c>
      <c r="C6" s="15">
        <v>1</v>
      </c>
      <c r="D6" s="15" t="s">
        <v>57</v>
      </c>
      <c r="E6" s="13"/>
      <c r="F6" s="76"/>
      <c r="G6" s="77"/>
      <c r="H6" s="77"/>
      <c r="I6" s="78"/>
      <c r="J6" s="13"/>
      <c r="K6" s="9"/>
      <c r="L6" s="9"/>
      <c r="M6" s="9"/>
    </row>
    <row r="7" spans="1:17" ht="17.5" customHeight="1" x14ac:dyDescent="0.35">
      <c r="A7" s="43" t="s">
        <v>56</v>
      </c>
      <c r="B7" s="15" t="s">
        <v>0</v>
      </c>
      <c r="C7" s="15">
        <v>1000</v>
      </c>
      <c r="D7" s="15" t="s">
        <v>55</v>
      </c>
      <c r="E7" s="9"/>
      <c r="F7" s="76"/>
      <c r="G7" s="77"/>
      <c r="H7" s="77"/>
      <c r="I7" s="78"/>
      <c r="J7" s="13"/>
      <c r="K7" s="9"/>
      <c r="L7" s="9"/>
      <c r="M7" s="9"/>
    </row>
    <row r="8" spans="1:17" ht="17.5" customHeight="1" x14ac:dyDescent="0.35">
      <c r="A8" s="43" t="s">
        <v>54</v>
      </c>
      <c r="B8" s="15" t="s">
        <v>5</v>
      </c>
      <c r="C8" s="15">
        <v>20</v>
      </c>
      <c r="D8" s="15" t="s">
        <v>52</v>
      </c>
      <c r="E8" s="9"/>
      <c r="F8" s="76"/>
      <c r="G8" s="77"/>
      <c r="H8" s="77"/>
      <c r="I8" s="78"/>
      <c r="J8" s="13"/>
      <c r="K8" s="9"/>
      <c r="L8" s="9"/>
      <c r="M8" s="9"/>
    </row>
    <row r="9" spans="1:17" ht="17.5" customHeight="1" x14ac:dyDescent="0.35">
      <c r="A9" s="43" t="s">
        <v>53</v>
      </c>
      <c r="B9" s="15" t="s">
        <v>6</v>
      </c>
      <c r="C9" s="15">
        <v>55</v>
      </c>
      <c r="D9" s="15" t="s">
        <v>52</v>
      </c>
      <c r="E9" s="9"/>
      <c r="F9" s="76"/>
      <c r="G9" s="77"/>
      <c r="H9" s="77"/>
      <c r="I9" s="78"/>
      <c r="J9" s="13"/>
      <c r="K9" s="9"/>
      <c r="L9" s="9"/>
      <c r="M9" s="9"/>
    </row>
    <row r="10" spans="1:17" ht="17.5" customHeight="1" x14ac:dyDescent="0.35">
      <c r="A10" s="43" t="s">
        <v>51</v>
      </c>
      <c r="B10" s="15" t="s">
        <v>50</v>
      </c>
      <c r="C10" s="15">
        <v>8</v>
      </c>
      <c r="D10" s="15" t="s">
        <v>49</v>
      </c>
      <c r="E10" s="9"/>
      <c r="F10" s="76"/>
      <c r="G10" s="77"/>
      <c r="H10" s="77"/>
      <c r="I10" s="78"/>
      <c r="J10" s="13"/>
      <c r="K10" s="9"/>
      <c r="L10" s="9"/>
      <c r="M10" s="9"/>
    </row>
    <row r="11" spans="1:17" x14ac:dyDescent="0.35">
      <c r="A11" s="31"/>
      <c r="B11" s="15"/>
      <c r="C11" s="15"/>
      <c r="D11" s="15"/>
      <c r="E11" s="9"/>
      <c r="F11" s="76"/>
      <c r="G11" s="77"/>
      <c r="H11" s="77"/>
      <c r="I11" s="78"/>
      <c r="J11" s="13"/>
      <c r="K11" s="9"/>
      <c r="L11" s="9"/>
      <c r="M11" s="9"/>
    </row>
    <row r="12" spans="1:17" ht="29" x14ac:dyDescent="0.35">
      <c r="A12" s="33" t="s">
        <v>48</v>
      </c>
      <c r="B12" s="44" t="s">
        <v>30</v>
      </c>
      <c r="C12" s="44">
        <f>(C6*C7*(C9-C8))/(860)</f>
        <v>40.697674418604649</v>
      </c>
      <c r="D12" s="44" t="s">
        <v>13</v>
      </c>
      <c r="E12" s="9"/>
      <c r="F12" s="76"/>
      <c r="G12" s="77"/>
      <c r="H12" s="77"/>
      <c r="I12" s="78"/>
      <c r="J12" s="13"/>
      <c r="K12" s="9"/>
      <c r="L12" s="9"/>
      <c r="M12" s="9"/>
    </row>
    <row r="13" spans="1:17" x14ac:dyDescent="0.35">
      <c r="A13" s="31"/>
      <c r="B13" s="15"/>
      <c r="C13" s="15"/>
      <c r="D13" s="15"/>
      <c r="E13" s="9"/>
      <c r="F13" s="76"/>
      <c r="G13" s="77"/>
      <c r="H13" s="77"/>
      <c r="I13" s="78"/>
      <c r="J13" s="13"/>
      <c r="K13" s="9"/>
      <c r="L13" s="9"/>
      <c r="M13" s="9"/>
    </row>
    <row r="14" spans="1:17" ht="29" x14ac:dyDescent="0.35">
      <c r="A14" s="39" t="s">
        <v>65</v>
      </c>
      <c r="B14" s="40" t="s">
        <v>62</v>
      </c>
      <c r="C14" s="41">
        <f>C12/C10</f>
        <v>5.0872093023255811</v>
      </c>
      <c r="D14" s="40" t="s">
        <v>13</v>
      </c>
      <c r="E14" s="9"/>
      <c r="F14" s="79"/>
      <c r="G14" s="80"/>
      <c r="H14" s="80"/>
      <c r="I14" s="81"/>
      <c r="J14" s="13"/>
      <c r="K14" s="9"/>
      <c r="L14" s="9"/>
      <c r="M14" s="9"/>
    </row>
    <row r="15" spans="1:17" x14ac:dyDescent="0.35">
      <c r="A15" s="31"/>
      <c r="B15" s="9"/>
      <c r="C15" s="9"/>
      <c r="D15" s="9"/>
      <c r="E15" s="9"/>
      <c r="F15" s="30"/>
      <c r="G15" s="30"/>
      <c r="H15" s="30"/>
      <c r="I15" s="30"/>
      <c r="J15" s="30"/>
      <c r="K15" s="9"/>
      <c r="L15" s="9"/>
      <c r="M15" s="9"/>
    </row>
    <row r="16" spans="1:17" x14ac:dyDescent="0.35">
      <c r="A16" s="34"/>
      <c r="B16" s="9"/>
      <c r="C16" s="9"/>
      <c r="D16" s="9"/>
      <c r="E16" s="9"/>
      <c r="F16" s="9"/>
      <c r="G16" s="9"/>
      <c r="H16" s="9"/>
      <c r="I16" s="9"/>
      <c r="J16" s="32"/>
      <c r="Q16" s="3"/>
    </row>
    <row r="17" spans="1:17" x14ac:dyDescent="0.35">
      <c r="A17" s="31"/>
      <c r="B17" s="9"/>
      <c r="C17" s="9"/>
      <c r="D17" s="9"/>
      <c r="E17" s="9"/>
      <c r="F17" s="9"/>
      <c r="G17" s="9"/>
      <c r="H17" s="9"/>
      <c r="I17" s="9"/>
      <c r="J17" s="32"/>
      <c r="Q17" s="4"/>
    </row>
    <row r="18" spans="1:17" x14ac:dyDescent="0.35">
      <c r="A18" s="35"/>
      <c r="B18" s="36"/>
      <c r="C18" s="36"/>
      <c r="D18" s="36"/>
      <c r="E18" s="36"/>
      <c r="F18" s="37"/>
      <c r="G18" s="36"/>
      <c r="H18" s="36"/>
      <c r="I18" s="36"/>
      <c r="J18" s="38"/>
      <c r="Q18" s="4"/>
    </row>
    <row r="19" spans="1:17" x14ac:dyDescent="0.35">
      <c r="F19" s="6"/>
      <c r="Q19" s="3"/>
    </row>
    <row r="20" spans="1:17" x14ac:dyDescent="0.35">
      <c r="F20" s="3"/>
      <c r="Q20" s="3"/>
    </row>
    <row r="21" spans="1:17" ht="14.5" customHeight="1" x14ac:dyDescent="0.35">
      <c r="F21" s="3"/>
      <c r="Q21" s="3"/>
    </row>
    <row r="22" spans="1:17" x14ac:dyDescent="0.35">
      <c r="Q22" s="5"/>
    </row>
    <row r="23" spans="1:17" x14ac:dyDescent="0.35">
      <c r="F23" s="5"/>
      <c r="Q23" s="5"/>
    </row>
    <row r="24" spans="1:17" x14ac:dyDescent="0.35">
      <c r="F24" s="6"/>
    </row>
    <row r="25" spans="1:17" x14ac:dyDescent="0.35">
      <c r="F25" s="5"/>
    </row>
    <row r="26" spans="1:17" x14ac:dyDescent="0.35">
      <c r="F26" s="3"/>
    </row>
    <row r="27" spans="1:17" x14ac:dyDescent="0.35">
      <c r="F27" s="3"/>
    </row>
    <row r="28" spans="1:17" x14ac:dyDescent="0.35">
      <c r="F28" s="7"/>
    </row>
    <row r="29" spans="1:17" x14ac:dyDescent="0.35">
      <c r="F29" s="6"/>
    </row>
    <row r="30" spans="1:17" x14ac:dyDescent="0.35">
      <c r="F30" s="5"/>
    </row>
    <row r="31" spans="1:17" x14ac:dyDescent="0.35">
      <c r="F31" s="3"/>
    </row>
    <row r="32" spans="1:17" x14ac:dyDescent="0.35">
      <c r="F32" s="3"/>
    </row>
    <row r="33" spans="6:6" x14ac:dyDescent="0.35">
      <c r="F33" s="5"/>
    </row>
    <row r="34" spans="6:6" x14ac:dyDescent="0.35">
      <c r="F34" s="6"/>
    </row>
    <row r="35" spans="6:6" x14ac:dyDescent="0.35">
      <c r="F35" s="5"/>
    </row>
    <row r="36" spans="6:6" x14ac:dyDescent="0.35">
      <c r="F36" s="3"/>
    </row>
    <row r="37" spans="6:6" x14ac:dyDescent="0.35">
      <c r="F37" s="3"/>
    </row>
  </sheetData>
  <mergeCells count="5">
    <mergeCell ref="F4:I14"/>
    <mergeCell ref="A1:J1"/>
    <mergeCell ref="A2:J2"/>
    <mergeCell ref="A4:D4"/>
    <mergeCell ref="A5:D5"/>
  </mergeCells>
  <pageMargins left="0.37" right="0.28000000000000003" top="0.3" bottom="0.2800000000000000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Simming Pool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MECHZEPHYR ENGINEERING</dc:creator>
  <cp:lastModifiedBy>MECHZEPHYR ENGINEERING</cp:lastModifiedBy>
  <cp:lastPrinted>2020-04-23T05:06:47Z</cp:lastPrinted>
  <dcterms:created xsi:type="dcterms:W3CDTF">2020-04-19T17:47:45Z</dcterms:created>
  <dcterms:modified xsi:type="dcterms:W3CDTF">2021-10-25T06:57:29Z</dcterms:modified>
</cp:coreProperties>
</file>